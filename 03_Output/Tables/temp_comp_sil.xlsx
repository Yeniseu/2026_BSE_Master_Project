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9294151c07b659b/Desktop/Ders/BSE_Master_Project/"/>
    </mc:Choice>
  </mc:AlternateContent>
  <xr:revisionPtr revIDLastSave="14" documentId="11_921A7EDF8F79A8D366075C52F37BD272AACA16BE" xr6:coauthVersionLast="47" xr6:coauthVersionMax="47" xr10:uidLastSave="{8A005348-EA5B-4042-959D-E5AB9C4C29DA}"/>
  <bookViews>
    <workbookView xWindow="-108" yWindow="-108" windowWidth="23256" windowHeight="138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W17" i="1" l="1"/>
  <c r="AV17" i="1"/>
  <c r="AU17" i="1"/>
  <c r="AT17" i="1"/>
  <c r="AS17" i="1"/>
  <c r="AR17" i="1"/>
  <c r="AQ17" i="1"/>
  <c r="AW16" i="1"/>
  <c r="AV16" i="1"/>
  <c r="AU16" i="1"/>
  <c r="AT16" i="1"/>
  <c r="AS16" i="1"/>
  <c r="AR16" i="1"/>
  <c r="AQ16" i="1"/>
  <c r="AW15" i="1"/>
  <c r="AV15" i="1"/>
  <c r="AU15" i="1"/>
  <c r="AT15" i="1"/>
  <c r="AS15" i="1"/>
  <c r="AR15" i="1"/>
  <c r="AQ15" i="1"/>
  <c r="AW14" i="1"/>
  <c r="AV14" i="1"/>
  <c r="AU14" i="1"/>
  <c r="AT14" i="1"/>
  <c r="AS14" i="1"/>
  <c r="AR14" i="1"/>
  <c r="AQ14" i="1"/>
  <c r="AW13" i="1"/>
  <c r="AV13" i="1"/>
  <c r="AU13" i="1"/>
  <c r="AT13" i="1"/>
  <c r="AS13" i="1"/>
  <c r="AR13" i="1"/>
  <c r="AQ13" i="1"/>
  <c r="AW12" i="1"/>
  <c r="AV12" i="1"/>
  <c r="AU12" i="1"/>
  <c r="AT12" i="1"/>
  <c r="AS12" i="1"/>
  <c r="AR12" i="1"/>
  <c r="AQ12" i="1"/>
  <c r="AW11" i="1"/>
  <c r="AV11" i="1"/>
  <c r="AU11" i="1"/>
  <c r="AT11" i="1"/>
  <c r="AS11" i="1"/>
  <c r="AR11" i="1"/>
  <c r="AQ11" i="1"/>
  <c r="AW10" i="1"/>
  <c r="AV10" i="1"/>
  <c r="AU10" i="1"/>
  <c r="AT10" i="1"/>
  <c r="AS10" i="1"/>
  <c r="AR10" i="1"/>
  <c r="AQ10" i="1"/>
  <c r="AW9" i="1"/>
  <c r="AV9" i="1"/>
  <c r="AU9" i="1"/>
  <c r="AT9" i="1"/>
  <c r="AS9" i="1"/>
  <c r="AR9" i="1"/>
  <c r="AQ9" i="1"/>
  <c r="AW8" i="1"/>
  <c r="AV8" i="1"/>
  <c r="AU8" i="1"/>
  <c r="AT8" i="1"/>
  <c r="AS8" i="1"/>
  <c r="AR8" i="1"/>
  <c r="AQ8" i="1"/>
  <c r="AW7" i="1"/>
  <c r="AV7" i="1"/>
  <c r="AU7" i="1"/>
  <c r="AT7" i="1"/>
  <c r="AS7" i="1"/>
  <c r="AR7" i="1"/>
  <c r="AQ7" i="1"/>
  <c r="AW6" i="1"/>
  <c r="AV6" i="1"/>
  <c r="AU6" i="1"/>
  <c r="AT6" i="1"/>
  <c r="AS6" i="1"/>
  <c r="AR6" i="1"/>
  <c r="AQ6" i="1"/>
  <c r="AW5" i="1"/>
  <c r="AV5" i="1"/>
  <c r="AU5" i="1"/>
  <c r="AT5" i="1"/>
  <c r="AS5" i="1"/>
  <c r="AR5" i="1"/>
  <c r="AQ5" i="1"/>
  <c r="AW4" i="1"/>
  <c r="AV4" i="1"/>
  <c r="AU4" i="1"/>
  <c r="AT4" i="1"/>
  <c r="AS4" i="1"/>
  <c r="AR4" i="1"/>
  <c r="AQ4" i="1"/>
  <c r="AW3" i="1"/>
  <c r="AV3" i="1"/>
  <c r="AU3" i="1"/>
  <c r="AT3" i="1"/>
  <c r="AS3" i="1"/>
  <c r="AR3" i="1"/>
  <c r="AQ3" i="1"/>
  <c r="AO5" i="1"/>
  <c r="AO6" i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4" i="1"/>
  <c r="AM184" i="1"/>
  <c r="AL184" i="1"/>
  <c r="AK184" i="1"/>
  <c r="AJ184" i="1"/>
  <c r="AI184" i="1"/>
  <c r="AH184" i="1"/>
  <c r="AG184" i="1"/>
  <c r="AM182" i="1"/>
  <c r="AL182" i="1"/>
  <c r="AK182" i="1"/>
  <c r="AJ182" i="1"/>
  <c r="AI182" i="1"/>
  <c r="AH182" i="1"/>
  <c r="AG182" i="1"/>
  <c r="AM181" i="1"/>
  <c r="AL181" i="1"/>
  <c r="AK181" i="1"/>
  <c r="AJ181" i="1"/>
  <c r="AI181" i="1"/>
  <c r="AH181" i="1"/>
  <c r="AG181" i="1"/>
  <c r="AM180" i="1"/>
  <c r="AL180" i="1"/>
  <c r="AK180" i="1"/>
  <c r="AJ180" i="1"/>
  <c r="AI180" i="1"/>
  <c r="AH180" i="1"/>
  <c r="AG180" i="1"/>
  <c r="AM179" i="1"/>
  <c r="AL179" i="1"/>
  <c r="AK179" i="1"/>
  <c r="AJ179" i="1"/>
  <c r="AI179" i="1"/>
  <c r="AH179" i="1"/>
  <c r="AG179" i="1"/>
  <c r="AM178" i="1"/>
  <c r="AL178" i="1"/>
  <c r="AK178" i="1"/>
  <c r="AJ178" i="1"/>
  <c r="AI178" i="1"/>
  <c r="AH178" i="1"/>
  <c r="AG178" i="1"/>
  <c r="AM177" i="1"/>
  <c r="AL177" i="1"/>
  <c r="AK177" i="1"/>
  <c r="AJ177" i="1"/>
  <c r="AI177" i="1"/>
  <c r="AH177" i="1"/>
  <c r="AG177" i="1"/>
  <c r="AM176" i="1"/>
  <c r="AL176" i="1"/>
  <c r="AK176" i="1"/>
  <c r="AJ176" i="1"/>
  <c r="AI176" i="1"/>
  <c r="AH176" i="1"/>
  <c r="AG176" i="1"/>
  <c r="AM175" i="1"/>
  <c r="AL175" i="1"/>
  <c r="AK175" i="1"/>
  <c r="AJ175" i="1"/>
  <c r="AI175" i="1"/>
  <c r="AH175" i="1"/>
  <c r="AG175" i="1"/>
  <c r="AM174" i="1"/>
  <c r="AL174" i="1"/>
  <c r="AK174" i="1"/>
  <c r="AJ174" i="1"/>
  <c r="AI174" i="1"/>
  <c r="AH174" i="1"/>
  <c r="AG174" i="1"/>
  <c r="AM173" i="1"/>
  <c r="AL173" i="1"/>
  <c r="AK173" i="1"/>
  <c r="AJ173" i="1"/>
  <c r="AI173" i="1"/>
  <c r="AH173" i="1"/>
  <c r="AG173" i="1"/>
  <c r="AM172" i="1"/>
  <c r="AL172" i="1"/>
  <c r="AK172" i="1"/>
  <c r="AJ172" i="1"/>
  <c r="AI172" i="1"/>
  <c r="AH172" i="1"/>
  <c r="AG172" i="1"/>
  <c r="AM171" i="1"/>
  <c r="AL171" i="1"/>
  <c r="AK171" i="1"/>
  <c r="AJ171" i="1"/>
  <c r="AI171" i="1"/>
  <c r="AH171" i="1"/>
  <c r="AG171" i="1"/>
  <c r="AM170" i="1"/>
  <c r="AL170" i="1"/>
  <c r="AK170" i="1"/>
  <c r="AJ170" i="1"/>
  <c r="AI170" i="1"/>
  <c r="AH170" i="1"/>
  <c r="AG170" i="1"/>
  <c r="AM169" i="1"/>
  <c r="AL169" i="1"/>
  <c r="AK169" i="1"/>
  <c r="AJ169" i="1"/>
  <c r="AI169" i="1"/>
  <c r="AH169" i="1"/>
  <c r="AG169" i="1"/>
  <c r="AM168" i="1"/>
  <c r="AL168" i="1"/>
  <c r="AK168" i="1"/>
  <c r="AJ168" i="1"/>
  <c r="AI168" i="1"/>
  <c r="AH168" i="1"/>
  <c r="AG168" i="1"/>
  <c r="AM167" i="1"/>
  <c r="AL167" i="1"/>
  <c r="AK167" i="1"/>
  <c r="AJ167" i="1"/>
  <c r="AI167" i="1"/>
  <c r="AH167" i="1"/>
  <c r="AG167" i="1"/>
  <c r="AM166" i="1"/>
  <c r="AL166" i="1"/>
  <c r="AK166" i="1"/>
  <c r="AJ166" i="1"/>
  <c r="AI166" i="1"/>
  <c r="AH166" i="1"/>
  <c r="AG166" i="1"/>
  <c r="AM165" i="1"/>
  <c r="AL165" i="1"/>
  <c r="AK165" i="1"/>
  <c r="AJ165" i="1"/>
  <c r="AI165" i="1"/>
  <c r="AH165" i="1"/>
  <c r="AG165" i="1"/>
  <c r="AM164" i="1"/>
  <c r="AL164" i="1"/>
  <c r="AK164" i="1"/>
  <c r="AJ164" i="1"/>
  <c r="AI164" i="1"/>
  <c r="AH164" i="1"/>
  <c r="AG164" i="1"/>
  <c r="AM163" i="1"/>
  <c r="AL163" i="1"/>
  <c r="AK163" i="1"/>
  <c r="AJ163" i="1"/>
  <c r="AI163" i="1"/>
  <c r="AH163" i="1"/>
  <c r="AG163" i="1"/>
  <c r="AM162" i="1"/>
  <c r="AL162" i="1"/>
  <c r="AK162" i="1"/>
  <c r="AJ162" i="1"/>
  <c r="AI162" i="1"/>
  <c r="AH162" i="1"/>
  <c r="AG162" i="1"/>
  <c r="AM161" i="1"/>
  <c r="AL161" i="1"/>
  <c r="AK161" i="1"/>
  <c r="AJ161" i="1"/>
  <c r="AI161" i="1"/>
  <c r="AH161" i="1"/>
  <c r="AG161" i="1"/>
  <c r="AM160" i="1"/>
  <c r="AL160" i="1"/>
  <c r="AK160" i="1"/>
  <c r="AJ160" i="1"/>
  <c r="AI160" i="1"/>
  <c r="AH160" i="1"/>
  <c r="AG160" i="1"/>
  <c r="AM159" i="1"/>
  <c r="AL159" i="1"/>
  <c r="AK159" i="1"/>
  <c r="AJ159" i="1"/>
  <c r="AI159" i="1"/>
  <c r="AH159" i="1"/>
  <c r="AG159" i="1"/>
  <c r="AM158" i="1"/>
  <c r="AL158" i="1"/>
  <c r="AK158" i="1"/>
  <c r="AJ158" i="1"/>
  <c r="AI158" i="1"/>
  <c r="AH158" i="1"/>
  <c r="AG158" i="1"/>
  <c r="AM157" i="1"/>
  <c r="AL157" i="1"/>
  <c r="AK157" i="1"/>
  <c r="AJ157" i="1"/>
  <c r="AI157" i="1"/>
  <c r="AH157" i="1"/>
  <c r="AG157" i="1"/>
  <c r="AM156" i="1"/>
  <c r="AL156" i="1"/>
  <c r="AK156" i="1"/>
  <c r="AJ156" i="1"/>
  <c r="AI156" i="1"/>
  <c r="AH156" i="1"/>
  <c r="AG156" i="1"/>
  <c r="AM155" i="1"/>
  <c r="AL155" i="1"/>
  <c r="AK155" i="1"/>
  <c r="AJ155" i="1"/>
  <c r="AI155" i="1"/>
  <c r="AH155" i="1"/>
  <c r="AG155" i="1"/>
  <c r="AM154" i="1"/>
  <c r="AL154" i="1"/>
  <c r="AK154" i="1"/>
  <c r="AJ154" i="1"/>
  <c r="AI154" i="1"/>
  <c r="AH154" i="1"/>
  <c r="AG154" i="1"/>
  <c r="AM153" i="1"/>
  <c r="AL153" i="1"/>
  <c r="AK153" i="1"/>
  <c r="AJ153" i="1"/>
  <c r="AI153" i="1"/>
  <c r="AH153" i="1"/>
  <c r="AG153" i="1"/>
  <c r="AM152" i="1"/>
  <c r="AL152" i="1"/>
  <c r="AK152" i="1"/>
  <c r="AJ152" i="1"/>
  <c r="AI152" i="1"/>
  <c r="AH152" i="1"/>
  <c r="AG152" i="1"/>
  <c r="AM151" i="1"/>
  <c r="AL151" i="1"/>
  <c r="AK151" i="1"/>
  <c r="AJ151" i="1"/>
  <c r="AI151" i="1"/>
  <c r="AH151" i="1"/>
  <c r="AG151" i="1"/>
  <c r="AM150" i="1"/>
  <c r="AL150" i="1"/>
  <c r="AK150" i="1"/>
  <c r="AJ150" i="1"/>
  <c r="AI150" i="1"/>
  <c r="AH150" i="1"/>
  <c r="AG150" i="1"/>
  <c r="AM149" i="1"/>
  <c r="AL149" i="1"/>
  <c r="AK149" i="1"/>
  <c r="AJ149" i="1"/>
  <c r="AI149" i="1"/>
  <c r="AH149" i="1"/>
  <c r="AG149" i="1"/>
  <c r="AM148" i="1"/>
  <c r="AL148" i="1"/>
  <c r="AK148" i="1"/>
  <c r="AJ148" i="1"/>
  <c r="AI148" i="1"/>
  <c r="AH148" i="1"/>
  <c r="AG148" i="1"/>
  <c r="AM147" i="1"/>
  <c r="AL147" i="1"/>
  <c r="AK147" i="1"/>
  <c r="AJ147" i="1"/>
  <c r="AI147" i="1"/>
  <c r="AH147" i="1"/>
  <c r="AG147" i="1"/>
  <c r="AM146" i="1"/>
  <c r="AL146" i="1"/>
  <c r="AK146" i="1"/>
  <c r="AJ146" i="1"/>
  <c r="AI146" i="1"/>
  <c r="AH146" i="1"/>
  <c r="AG146" i="1"/>
  <c r="AM145" i="1"/>
  <c r="AL145" i="1"/>
  <c r="AK145" i="1"/>
  <c r="AJ145" i="1"/>
  <c r="AI145" i="1"/>
  <c r="AH145" i="1"/>
  <c r="AG145" i="1"/>
  <c r="AM144" i="1"/>
  <c r="AL144" i="1"/>
  <c r="AK144" i="1"/>
  <c r="AJ144" i="1"/>
  <c r="AI144" i="1"/>
  <c r="AH144" i="1"/>
  <c r="AG144" i="1"/>
  <c r="AM143" i="1"/>
  <c r="AL143" i="1"/>
  <c r="AK143" i="1"/>
  <c r="AJ143" i="1"/>
  <c r="AI143" i="1"/>
  <c r="AH143" i="1"/>
  <c r="AG143" i="1"/>
  <c r="AM142" i="1"/>
  <c r="AL142" i="1"/>
  <c r="AK142" i="1"/>
  <c r="AJ142" i="1"/>
  <c r="AI142" i="1"/>
  <c r="AH142" i="1"/>
  <c r="AG142" i="1"/>
  <c r="AM141" i="1"/>
  <c r="AL141" i="1"/>
  <c r="AK141" i="1"/>
  <c r="AJ141" i="1"/>
  <c r="AI141" i="1"/>
  <c r="AH141" i="1"/>
  <c r="AG141" i="1"/>
  <c r="AM140" i="1"/>
  <c r="AL140" i="1"/>
  <c r="AK140" i="1"/>
  <c r="AJ140" i="1"/>
  <c r="AI140" i="1"/>
  <c r="AH140" i="1"/>
  <c r="AG140" i="1"/>
  <c r="AM139" i="1"/>
  <c r="AL139" i="1"/>
  <c r="AK139" i="1"/>
  <c r="AJ139" i="1"/>
  <c r="AI139" i="1"/>
  <c r="AH139" i="1"/>
  <c r="AG139" i="1"/>
  <c r="AM138" i="1"/>
  <c r="AL138" i="1"/>
  <c r="AK138" i="1"/>
  <c r="AJ138" i="1"/>
  <c r="AI138" i="1"/>
  <c r="AH138" i="1"/>
  <c r="AG138" i="1"/>
  <c r="AM137" i="1"/>
  <c r="AL137" i="1"/>
  <c r="AK137" i="1"/>
  <c r="AJ137" i="1"/>
  <c r="AI137" i="1"/>
  <c r="AH137" i="1"/>
  <c r="AG137" i="1"/>
  <c r="AM136" i="1"/>
  <c r="AL136" i="1"/>
  <c r="AK136" i="1"/>
  <c r="AJ136" i="1"/>
  <c r="AI136" i="1"/>
  <c r="AH136" i="1"/>
  <c r="AG136" i="1"/>
  <c r="AM135" i="1"/>
  <c r="AL135" i="1"/>
  <c r="AK135" i="1"/>
  <c r="AJ135" i="1"/>
  <c r="AI135" i="1"/>
  <c r="AH135" i="1"/>
  <c r="AG135" i="1"/>
  <c r="AM134" i="1"/>
  <c r="AL134" i="1"/>
  <c r="AK134" i="1"/>
  <c r="AJ134" i="1"/>
  <c r="AI134" i="1"/>
  <c r="AH134" i="1"/>
  <c r="AG134" i="1"/>
  <c r="AM133" i="1"/>
  <c r="AL133" i="1"/>
  <c r="AK133" i="1"/>
  <c r="AJ133" i="1"/>
  <c r="AI133" i="1"/>
  <c r="AH133" i="1"/>
  <c r="AG133" i="1"/>
  <c r="AM132" i="1"/>
  <c r="AL132" i="1"/>
  <c r="AK132" i="1"/>
  <c r="AJ132" i="1"/>
  <c r="AI132" i="1"/>
  <c r="AH132" i="1"/>
  <c r="AG132" i="1"/>
  <c r="AM131" i="1"/>
  <c r="AL131" i="1"/>
  <c r="AK131" i="1"/>
  <c r="AJ131" i="1"/>
  <c r="AI131" i="1"/>
  <c r="AH131" i="1"/>
  <c r="AG131" i="1"/>
  <c r="AM130" i="1"/>
  <c r="AL130" i="1"/>
  <c r="AK130" i="1"/>
  <c r="AJ130" i="1"/>
  <c r="AI130" i="1"/>
  <c r="AH130" i="1"/>
  <c r="AG130" i="1"/>
  <c r="AM129" i="1"/>
  <c r="AL129" i="1"/>
  <c r="AK129" i="1"/>
  <c r="AJ129" i="1"/>
  <c r="AI129" i="1"/>
  <c r="AH129" i="1"/>
  <c r="AG129" i="1"/>
  <c r="AM128" i="1"/>
  <c r="AL128" i="1"/>
  <c r="AK128" i="1"/>
  <c r="AJ128" i="1"/>
  <c r="AI128" i="1"/>
  <c r="AH128" i="1"/>
  <c r="AG128" i="1"/>
  <c r="AM127" i="1"/>
  <c r="AL127" i="1"/>
  <c r="AK127" i="1"/>
  <c r="AJ127" i="1"/>
  <c r="AI127" i="1"/>
  <c r="AH127" i="1"/>
  <c r="AG127" i="1"/>
  <c r="AM126" i="1"/>
  <c r="AL126" i="1"/>
  <c r="AK126" i="1"/>
  <c r="AJ126" i="1"/>
  <c r="AI126" i="1"/>
  <c r="AH126" i="1"/>
  <c r="AG126" i="1"/>
  <c r="AM125" i="1"/>
  <c r="AL125" i="1"/>
  <c r="AK125" i="1"/>
  <c r="AJ125" i="1"/>
  <c r="AI125" i="1"/>
  <c r="AH125" i="1"/>
  <c r="AG125" i="1"/>
  <c r="AM124" i="1"/>
  <c r="AL124" i="1"/>
  <c r="AK124" i="1"/>
  <c r="AJ124" i="1"/>
  <c r="AI124" i="1"/>
  <c r="AH124" i="1"/>
  <c r="AG124" i="1"/>
  <c r="AM123" i="1"/>
  <c r="AL123" i="1"/>
  <c r="AK123" i="1"/>
  <c r="AJ123" i="1"/>
  <c r="AI123" i="1"/>
  <c r="AH123" i="1"/>
  <c r="AG123" i="1"/>
  <c r="AM122" i="1"/>
  <c r="AL122" i="1"/>
  <c r="AK122" i="1"/>
  <c r="AJ122" i="1"/>
  <c r="AI122" i="1"/>
  <c r="AH122" i="1"/>
  <c r="AG122" i="1"/>
  <c r="AM121" i="1"/>
  <c r="AL121" i="1"/>
  <c r="AK121" i="1"/>
  <c r="AJ121" i="1"/>
  <c r="AI121" i="1"/>
  <c r="AH121" i="1"/>
  <c r="AG121" i="1"/>
  <c r="AM120" i="1"/>
  <c r="AL120" i="1"/>
  <c r="AK120" i="1"/>
  <c r="AJ120" i="1"/>
  <c r="AI120" i="1"/>
  <c r="AH120" i="1"/>
  <c r="AG120" i="1"/>
  <c r="AM119" i="1"/>
  <c r="AL119" i="1"/>
  <c r="AK119" i="1"/>
  <c r="AJ119" i="1"/>
  <c r="AI119" i="1"/>
  <c r="AH119" i="1"/>
  <c r="AG119" i="1"/>
  <c r="AM118" i="1"/>
  <c r="AL118" i="1"/>
  <c r="AK118" i="1"/>
  <c r="AJ118" i="1"/>
  <c r="AI118" i="1"/>
  <c r="AH118" i="1"/>
  <c r="AG118" i="1"/>
  <c r="AM117" i="1"/>
  <c r="AL117" i="1"/>
  <c r="AK117" i="1"/>
  <c r="AJ117" i="1"/>
  <c r="AI117" i="1"/>
  <c r="AH117" i="1"/>
  <c r="AG117" i="1"/>
  <c r="AM116" i="1"/>
  <c r="AL116" i="1"/>
  <c r="AK116" i="1"/>
  <c r="AJ116" i="1"/>
  <c r="AI116" i="1"/>
  <c r="AH116" i="1"/>
  <c r="AG116" i="1"/>
  <c r="AM115" i="1"/>
  <c r="AL115" i="1"/>
  <c r="AK115" i="1"/>
  <c r="AJ115" i="1"/>
  <c r="AI115" i="1"/>
  <c r="AH115" i="1"/>
  <c r="AG115" i="1"/>
  <c r="AM114" i="1"/>
  <c r="AL114" i="1"/>
  <c r="AK114" i="1"/>
  <c r="AJ114" i="1"/>
  <c r="AI114" i="1"/>
  <c r="AH114" i="1"/>
  <c r="AG114" i="1"/>
  <c r="AM113" i="1"/>
  <c r="AL113" i="1"/>
  <c r="AK113" i="1"/>
  <c r="AJ113" i="1"/>
  <c r="AI113" i="1"/>
  <c r="AH113" i="1"/>
  <c r="AG113" i="1"/>
  <c r="AM112" i="1"/>
  <c r="AL112" i="1"/>
  <c r="AK112" i="1"/>
  <c r="AJ112" i="1"/>
  <c r="AI112" i="1"/>
  <c r="AH112" i="1"/>
  <c r="AG112" i="1"/>
  <c r="AM111" i="1"/>
  <c r="AL111" i="1"/>
  <c r="AK111" i="1"/>
  <c r="AJ111" i="1"/>
  <c r="AI111" i="1"/>
  <c r="AH111" i="1"/>
  <c r="AG111" i="1"/>
  <c r="AM110" i="1"/>
  <c r="AL110" i="1"/>
  <c r="AK110" i="1"/>
  <c r="AJ110" i="1"/>
  <c r="AI110" i="1"/>
  <c r="AH110" i="1"/>
  <c r="AG110" i="1"/>
  <c r="AM109" i="1"/>
  <c r="AL109" i="1"/>
  <c r="AK109" i="1"/>
  <c r="AJ109" i="1"/>
  <c r="AI109" i="1"/>
  <c r="AH109" i="1"/>
  <c r="AG109" i="1"/>
  <c r="AM108" i="1"/>
  <c r="AL108" i="1"/>
  <c r="AK108" i="1"/>
  <c r="AJ108" i="1"/>
  <c r="AI108" i="1"/>
  <c r="AH108" i="1"/>
  <c r="AG108" i="1"/>
  <c r="AM107" i="1"/>
  <c r="AL107" i="1"/>
  <c r="AK107" i="1"/>
  <c r="AJ107" i="1"/>
  <c r="AI107" i="1"/>
  <c r="AH107" i="1"/>
  <c r="AG107" i="1"/>
  <c r="AM106" i="1"/>
  <c r="AL106" i="1"/>
  <c r="AK106" i="1"/>
  <c r="AJ106" i="1"/>
  <c r="AI106" i="1"/>
  <c r="AH106" i="1"/>
  <c r="AG106" i="1"/>
  <c r="AM105" i="1"/>
  <c r="AL105" i="1"/>
  <c r="AK105" i="1"/>
  <c r="AJ105" i="1"/>
  <c r="AI105" i="1"/>
  <c r="AH105" i="1"/>
  <c r="AG105" i="1"/>
  <c r="AM104" i="1"/>
  <c r="AL104" i="1"/>
  <c r="AK104" i="1"/>
  <c r="AJ104" i="1"/>
  <c r="AI104" i="1"/>
  <c r="AH104" i="1"/>
  <c r="AG104" i="1"/>
  <c r="AM103" i="1"/>
  <c r="AL103" i="1"/>
  <c r="AK103" i="1"/>
  <c r="AJ103" i="1"/>
  <c r="AI103" i="1"/>
  <c r="AH103" i="1"/>
  <c r="AG103" i="1"/>
  <c r="AM102" i="1"/>
  <c r="AL102" i="1"/>
  <c r="AK102" i="1"/>
  <c r="AJ102" i="1"/>
  <c r="AI102" i="1"/>
  <c r="AH102" i="1"/>
  <c r="AG102" i="1"/>
  <c r="AM101" i="1"/>
  <c r="AL101" i="1"/>
  <c r="AK101" i="1"/>
  <c r="AJ101" i="1"/>
  <c r="AI101" i="1"/>
  <c r="AH101" i="1"/>
  <c r="AG101" i="1"/>
  <c r="AM100" i="1"/>
  <c r="AL100" i="1"/>
  <c r="AK100" i="1"/>
  <c r="AJ100" i="1"/>
  <c r="AI100" i="1"/>
  <c r="AH100" i="1"/>
  <c r="AG100" i="1"/>
  <c r="AM99" i="1"/>
  <c r="AL99" i="1"/>
  <c r="AK99" i="1"/>
  <c r="AJ99" i="1"/>
  <c r="AI99" i="1"/>
  <c r="AH99" i="1"/>
  <c r="AG99" i="1"/>
  <c r="AM98" i="1"/>
  <c r="AL98" i="1"/>
  <c r="AK98" i="1"/>
  <c r="AJ98" i="1"/>
  <c r="AI98" i="1"/>
  <c r="AH98" i="1"/>
  <c r="AG98" i="1"/>
  <c r="AM97" i="1"/>
  <c r="AL97" i="1"/>
  <c r="AK97" i="1"/>
  <c r="AJ97" i="1"/>
  <c r="AI97" i="1"/>
  <c r="AH97" i="1"/>
  <c r="AG97" i="1"/>
  <c r="AM96" i="1"/>
  <c r="AL96" i="1"/>
  <c r="AK96" i="1"/>
  <c r="AJ96" i="1"/>
  <c r="AI96" i="1"/>
  <c r="AH96" i="1"/>
  <c r="AG96" i="1"/>
  <c r="AM95" i="1"/>
  <c r="AL95" i="1"/>
  <c r="AK95" i="1"/>
  <c r="AJ95" i="1"/>
  <c r="AI95" i="1"/>
  <c r="AH95" i="1"/>
  <c r="AG95" i="1"/>
  <c r="AM94" i="1"/>
  <c r="AL94" i="1"/>
  <c r="AK94" i="1"/>
  <c r="AJ94" i="1"/>
  <c r="AI94" i="1"/>
  <c r="AH94" i="1"/>
  <c r="AG94" i="1"/>
  <c r="AM93" i="1"/>
  <c r="AL93" i="1"/>
  <c r="AK93" i="1"/>
  <c r="AJ93" i="1"/>
  <c r="AI93" i="1"/>
  <c r="AH93" i="1"/>
  <c r="AG93" i="1"/>
  <c r="AM92" i="1"/>
  <c r="AL92" i="1"/>
  <c r="AK92" i="1"/>
  <c r="AJ92" i="1"/>
  <c r="AI92" i="1"/>
  <c r="AH92" i="1"/>
  <c r="AG92" i="1"/>
  <c r="AM91" i="1"/>
  <c r="AL91" i="1"/>
  <c r="AK91" i="1"/>
  <c r="AJ91" i="1"/>
  <c r="AI91" i="1"/>
  <c r="AH91" i="1"/>
  <c r="AG91" i="1"/>
  <c r="AM90" i="1"/>
  <c r="AL90" i="1"/>
  <c r="AK90" i="1"/>
  <c r="AJ90" i="1"/>
  <c r="AI90" i="1"/>
  <c r="AH90" i="1"/>
  <c r="AG90" i="1"/>
  <c r="AM89" i="1"/>
  <c r="AL89" i="1"/>
  <c r="AK89" i="1"/>
  <c r="AJ89" i="1"/>
  <c r="AI89" i="1"/>
  <c r="AH89" i="1"/>
  <c r="AG89" i="1"/>
  <c r="AM88" i="1"/>
  <c r="AL88" i="1"/>
  <c r="AK88" i="1"/>
  <c r="AJ88" i="1"/>
  <c r="AI88" i="1"/>
  <c r="AH88" i="1"/>
  <c r="AG88" i="1"/>
  <c r="AM87" i="1"/>
  <c r="AL87" i="1"/>
  <c r="AK87" i="1"/>
  <c r="AJ87" i="1"/>
  <c r="AI87" i="1"/>
  <c r="AH87" i="1"/>
  <c r="AG87" i="1"/>
  <c r="AM86" i="1"/>
  <c r="AL86" i="1"/>
  <c r="AK86" i="1"/>
  <c r="AJ86" i="1"/>
  <c r="AI86" i="1"/>
  <c r="AH86" i="1"/>
  <c r="AG86" i="1"/>
  <c r="AM85" i="1"/>
  <c r="AL85" i="1"/>
  <c r="AK85" i="1"/>
  <c r="AJ85" i="1"/>
  <c r="AI85" i="1"/>
  <c r="AH85" i="1"/>
  <c r="AG85" i="1"/>
  <c r="AM84" i="1"/>
  <c r="AL84" i="1"/>
  <c r="AK84" i="1"/>
  <c r="AJ84" i="1"/>
  <c r="AI84" i="1"/>
  <c r="AH84" i="1"/>
  <c r="AG84" i="1"/>
  <c r="AM83" i="1"/>
  <c r="AL83" i="1"/>
  <c r="AK83" i="1"/>
  <c r="AJ83" i="1"/>
  <c r="AI83" i="1"/>
  <c r="AH83" i="1"/>
  <c r="AG83" i="1"/>
  <c r="AM82" i="1"/>
  <c r="AL82" i="1"/>
  <c r="AK82" i="1"/>
  <c r="AJ82" i="1"/>
  <c r="AI82" i="1"/>
  <c r="AH82" i="1"/>
  <c r="AG82" i="1"/>
  <c r="AM81" i="1"/>
  <c r="AL81" i="1"/>
  <c r="AK81" i="1"/>
  <c r="AJ81" i="1"/>
  <c r="AI81" i="1"/>
  <c r="AH81" i="1"/>
  <c r="AG81" i="1"/>
  <c r="AM80" i="1"/>
  <c r="AL80" i="1"/>
  <c r="AK80" i="1"/>
  <c r="AJ80" i="1"/>
  <c r="AI80" i="1"/>
  <c r="AH80" i="1"/>
  <c r="AG80" i="1"/>
  <c r="AM79" i="1"/>
  <c r="AL79" i="1"/>
  <c r="AK79" i="1"/>
  <c r="AJ79" i="1"/>
  <c r="AI79" i="1"/>
  <c r="AH79" i="1"/>
  <c r="AG79" i="1"/>
  <c r="AM78" i="1"/>
  <c r="AL78" i="1"/>
  <c r="AK78" i="1"/>
  <c r="AJ78" i="1"/>
  <c r="AI78" i="1"/>
  <c r="AH78" i="1"/>
  <c r="AG78" i="1"/>
  <c r="AM77" i="1"/>
  <c r="AL77" i="1"/>
  <c r="AK77" i="1"/>
  <c r="AJ77" i="1"/>
  <c r="AI77" i="1"/>
  <c r="AH77" i="1"/>
  <c r="AG77" i="1"/>
  <c r="AM76" i="1"/>
  <c r="AL76" i="1"/>
  <c r="AK76" i="1"/>
  <c r="AJ76" i="1"/>
  <c r="AI76" i="1"/>
  <c r="AH76" i="1"/>
  <c r="AG76" i="1"/>
  <c r="AM75" i="1"/>
  <c r="AL75" i="1"/>
  <c r="AK75" i="1"/>
  <c r="AJ75" i="1"/>
  <c r="AI75" i="1"/>
  <c r="AH75" i="1"/>
  <c r="AG75" i="1"/>
  <c r="AM74" i="1"/>
  <c r="AL74" i="1"/>
  <c r="AK74" i="1"/>
  <c r="AJ74" i="1"/>
  <c r="AI74" i="1"/>
  <c r="AH74" i="1"/>
  <c r="AG74" i="1"/>
  <c r="AM73" i="1"/>
  <c r="AL73" i="1"/>
  <c r="AK73" i="1"/>
  <c r="AJ73" i="1"/>
  <c r="AI73" i="1"/>
  <c r="AH73" i="1"/>
  <c r="AG73" i="1"/>
  <c r="AM72" i="1"/>
  <c r="AL72" i="1"/>
  <c r="AK72" i="1"/>
  <c r="AJ72" i="1"/>
  <c r="AI72" i="1"/>
  <c r="AH72" i="1"/>
  <c r="AG72" i="1"/>
  <c r="AM71" i="1"/>
  <c r="AL71" i="1"/>
  <c r="AK71" i="1"/>
  <c r="AJ71" i="1"/>
  <c r="AI71" i="1"/>
  <c r="AH71" i="1"/>
  <c r="AG71" i="1"/>
  <c r="AM70" i="1"/>
  <c r="AL70" i="1"/>
  <c r="AK70" i="1"/>
  <c r="AJ70" i="1"/>
  <c r="AI70" i="1"/>
  <c r="AH70" i="1"/>
  <c r="AG70" i="1"/>
  <c r="AM69" i="1"/>
  <c r="AL69" i="1"/>
  <c r="AK69" i="1"/>
  <c r="AJ69" i="1"/>
  <c r="AI69" i="1"/>
  <c r="AH69" i="1"/>
  <c r="AG69" i="1"/>
  <c r="AM68" i="1"/>
  <c r="AL68" i="1"/>
  <c r="AK68" i="1"/>
  <c r="AJ68" i="1"/>
  <c r="AI68" i="1"/>
  <c r="AH68" i="1"/>
  <c r="AG68" i="1"/>
  <c r="AM67" i="1"/>
  <c r="AL67" i="1"/>
  <c r="AK67" i="1"/>
  <c r="AJ67" i="1"/>
  <c r="AI67" i="1"/>
  <c r="AH67" i="1"/>
  <c r="AG67" i="1"/>
  <c r="AM66" i="1"/>
  <c r="AL66" i="1"/>
  <c r="AK66" i="1"/>
  <c r="AJ66" i="1"/>
  <c r="AI66" i="1"/>
  <c r="AH66" i="1"/>
  <c r="AG66" i="1"/>
  <c r="AM65" i="1"/>
  <c r="AL65" i="1"/>
  <c r="AK65" i="1"/>
  <c r="AJ65" i="1"/>
  <c r="AI65" i="1"/>
  <c r="AH65" i="1"/>
  <c r="AG65" i="1"/>
  <c r="AM64" i="1"/>
  <c r="AL64" i="1"/>
  <c r="AK64" i="1"/>
  <c r="AJ64" i="1"/>
  <c r="AI64" i="1"/>
  <c r="AH64" i="1"/>
  <c r="AG64" i="1"/>
  <c r="AM63" i="1"/>
  <c r="AL63" i="1"/>
  <c r="AK63" i="1"/>
  <c r="AJ63" i="1"/>
  <c r="AI63" i="1"/>
  <c r="AH63" i="1"/>
  <c r="AG63" i="1"/>
  <c r="AM62" i="1"/>
  <c r="AL62" i="1"/>
  <c r="AK62" i="1"/>
  <c r="AJ62" i="1"/>
  <c r="AI62" i="1"/>
  <c r="AH62" i="1"/>
  <c r="AG62" i="1"/>
  <c r="AM61" i="1"/>
  <c r="AL61" i="1"/>
  <c r="AK61" i="1"/>
  <c r="AJ61" i="1"/>
  <c r="AI61" i="1"/>
  <c r="AH61" i="1"/>
  <c r="AG61" i="1"/>
  <c r="AM60" i="1"/>
  <c r="AL60" i="1"/>
  <c r="AK60" i="1"/>
  <c r="AJ60" i="1"/>
  <c r="AI60" i="1"/>
  <c r="AH60" i="1"/>
  <c r="AG60" i="1"/>
  <c r="AM59" i="1"/>
  <c r="AL59" i="1"/>
  <c r="AK59" i="1"/>
  <c r="AJ59" i="1"/>
  <c r="AI59" i="1"/>
  <c r="AH59" i="1"/>
  <c r="AG59" i="1"/>
  <c r="AM58" i="1"/>
  <c r="AL58" i="1"/>
  <c r="AK58" i="1"/>
  <c r="AJ58" i="1"/>
  <c r="AI58" i="1"/>
  <c r="AH58" i="1"/>
  <c r="AG58" i="1"/>
  <c r="AM57" i="1"/>
  <c r="AL57" i="1"/>
  <c r="AK57" i="1"/>
  <c r="AJ57" i="1"/>
  <c r="AI57" i="1"/>
  <c r="AH57" i="1"/>
  <c r="AG57" i="1"/>
  <c r="AM56" i="1"/>
  <c r="AL56" i="1"/>
  <c r="AK56" i="1"/>
  <c r="AJ56" i="1"/>
  <c r="AI56" i="1"/>
  <c r="AH56" i="1"/>
  <c r="AG56" i="1"/>
  <c r="AM55" i="1"/>
  <c r="AL55" i="1"/>
  <c r="AK55" i="1"/>
  <c r="AJ55" i="1"/>
  <c r="AI55" i="1"/>
  <c r="AH55" i="1"/>
  <c r="AG55" i="1"/>
  <c r="AM54" i="1"/>
  <c r="AL54" i="1"/>
  <c r="AK54" i="1"/>
  <c r="AJ54" i="1"/>
  <c r="AI54" i="1"/>
  <c r="AH54" i="1"/>
  <c r="AG54" i="1"/>
  <c r="AM53" i="1"/>
  <c r="AL53" i="1"/>
  <c r="AK53" i="1"/>
  <c r="AJ53" i="1"/>
  <c r="AI53" i="1"/>
  <c r="AH53" i="1"/>
  <c r="AG53" i="1"/>
  <c r="AM52" i="1"/>
  <c r="AL52" i="1"/>
  <c r="AK52" i="1"/>
  <c r="AJ52" i="1"/>
  <c r="AI52" i="1"/>
  <c r="AH52" i="1"/>
  <c r="AG52" i="1"/>
  <c r="AM51" i="1"/>
  <c r="AL51" i="1"/>
  <c r="AK51" i="1"/>
  <c r="AJ51" i="1"/>
  <c r="AI51" i="1"/>
  <c r="AH51" i="1"/>
  <c r="AG51" i="1"/>
  <c r="AM50" i="1"/>
  <c r="AL50" i="1"/>
  <c r="AK50" i="1"/>
  <c r="AJ50" i="1"/>
  <c r="AI50" i="1"/>
  <c r="AH50" i="1"/>
  <c r="AG50" i="1"/>
  <c r="AM49" i="1"/>
  <c r="AL49" i="1"/>
  <c r="AK49" i="1"/>
  <c r="AJ49" i="1"/>
  <c r="AI49" i="1"/>
  <c r="AH49" i="1"/>
  <c r="AG49" i="1"/>
  <c r="AM48" i="1"/>
  <c r="AL48" i="1"/>
  <c r="AK48" i="1"/>
  <c r="AJ48" i="1"/>
  <c r="AI48" i="1"/>
  <c r="AH48" i="1"/>
  <c r="AG48" i="1"/>
  <c r="AM47" i="1"/>
  <c r="AL47" i="1"/>
  <c r="AK47" i="1"/>
  <c r="AJ47" i="1"/>
  <c r="AI47" i="1"/>
  <c r="AH47" i="1"/>
  <c r="AG47" i="1"/>
  <c r="AM46" i="1"/>
  <c r="AL46" i="1"/>
  <c r="AK46" i="1"/>
  <c r="AJ46" i="1"/>
  <c r="AI46" i="1"/>
  <c r="AH46" i="1"/>
  <c r="AG46" i="1"/>
  <c r="AM45" i="1"/>
  <c r="AL45" i="1"/>
  <c r="AK45" i="1"/>
  <c r="AJ45" i="1"/>
  <c r="AI45" i="1"/>
  <c r="AH45" i="1"/>
  <c r="AG45" i="1"/>
  <c r="AM44" i="1"/>
  <c r="AL44" i="1"/>
  <c r="AK44" i="1"/>
  <c r="AJ44" i="1"/>
  <c r="AI44" i="1"/>
  <c r="AH44" i="1"/>
  <c r="AG44" i="1"/>
  <c r="AM43" i="1"/>
  <c r="AL43" i="1"/>
  <c r="AK43" i="1"/>
  <c r="AJ43" i="1"/>
  <c r="AI43" i="1"/>
  <c r="AH43" i="1"/>
  <c r="AG43" i="1"/>
  <c r="AM42" i="1"/>
  <c r="AL42" i="1"/>
  <c r="AK42" i="1"/>
  <c r="AJ42" i="1"/>
  <c r="AI42" i="1"/>
  <c r="AH42" i="1"/>
  <c r="AG42" i="1"/>
  <c r="AM41" i="1"/>
  <c r="AL41" i="1"/>
  <c r="AK41" i="1"/>
  <c r="AJ41" i="1"/>
  <c r="AI41" i="1"/>
  <c r="AH41" i="1"/>
  <c r="AG41" i="1"/>
  <c r="AM40" i="1"/>
  <c r="AL40" i="1"/>
  <c r="AK40" i="1"/>
  <c r="AJ40" i="1"/>
  <c r="AI40" i="1"/>
  <c r="AH40" i="1"/>
  <c r="AG40" i="1"/>
  <c r="AM39" i="1"/>
  <c r="AL39" i="1"/>
  <c r="AK39" i="1"/>
  <c r="AJ39" i="1"/>
  <c r="AI39" i="1"/>
  <c r="AH39" i="1"/>
  <c r="AG39" i="1"/>
  <c r="AM38" i="1"/>
  <c r="AL38" i="1"/>
  <c r="AK38" i="1"/>
  <c r="AJ38" i="1"/>
  <c r="AI38" i="1"/>
  <c r="AH38" i="1"/>
  <c r="AG38" i="1"/>
  <c r="AM37" i="1"/>
  <c r="AL37" i="1"/>
  <c r="AK37" i="1"/>
  <c r="AJ37" i="1"/>
  <c r="AI37" i="1"/>
  <c r="AH37" i="1"/>
  <c r="AG37" i="1"/>
  <c r="AM36" i="1"/>
  <c r="AL36" i="1"/>
  <c r="AK36" i="1"/>
  <c r="AJ36" i="1"/>
  <c r="AI36" i="1"/>
  <c r="AH36" i="1"/>
  <c r="AG36" i="1"/>
  <c r="AM35" i="1"/>
  <c r="AL35" i="1"/>
  <c r="AK35" i="1"/>
  <c r="AJ35" i="1"/>
  <c r="AI35" i="1"/>
  <c r="AH35" i="1"/>
  <c r="AG35" i="1"/>
  <c r="AM34" i="1"/>
  <c r="AL34" i="1"/>
  <c r="AK34" i="1"/>
  <c r="AJ34" i="1"/>
  <c r="AI34" i="1"/>
  <c r="AH34" i="1"/>
  <c r="AG34" i="1"/>
  <c r="AM33" i="1"/>
  <c r="AL33" i="1"/>
  <c r="AK33" i="1"/>
  <c r="AJ33" i="1"/>
  <c r="AI33" i="1"/>
  <c r="AH33" i="1"/>
  <c r="AG33" i="1"/>
  <c r="AM32" i="1"/>
  <c r="AL32" i="1"/>
  <c r="AK32" i="1"/>
  <c r="AJ32" i="1"/>
  <c r="AI32" i="1"/>
  <c r="AH32" i="1"/>
  <c r="AG32" i="1"/>
  <c r="AM31" i="1"/>
  <c r="AL31" i="1"/>
  <c r="AK31" i="1"/>
  <c r="AJ31" i="1"/>
  <c r="AI31" i="1"/>
  <c r="AH31" i="1"/>
  <c r="AG31" i="1"/>
  <c r="AM30" i="1"/>
  <c r="AL30" i="1"/>
  <c r="AK30" i="1"/>
  <c r="AJ30" i="1"/>
  <c r="AI30" i="1"/>
  <c r="AH30" i="1"/>
  <c r="AG30" i="1"/>
  <c r="AM29" i="1"/>
  <c r="AL29" i="1"/>
  <c r="AK29" i="1"/>
  <c r="AJ29" i="1"/>
  <c r="AI29" i="1"/>
  <c r="AH29" i="1"/>
  <c r="AG29" i="1"/>
  <c r="AM28" i="1"/>
  <c r="AL28" i="1"/>
  <c r="AK28" i="1"/>
  <c r="AJ28" i="1"/>
  <c r="AI28" i="1"/>
  <c r="AH28" i="1"/>
  <c r="AG28" i="1"/>
  <c r="AM27" i="1"/>
  <c r="AL27" i="1"/>
  <c r="AK27" i="1"/>
  <c r="AJ27" i="1"/>
  <c r="AI27" i="1"/>
  <c r="AH27" i="1"/>
  <c r="AG27" i="1"/>
  <c r="AM26" i="1"/>
  <c r="AL26" i="1"/>
  <c r="AK26" i="1"/>
  <c r="AJ26" i="1"/>
  <c r="AI26" i="1"/>
  <c r="AH26" i="1"/>
  <c r="AG26" i="1"/>
  <c r="AM25" i="1"/>
  <c r="AL25" i="1"/>
  <c r="AK25" i="1"/>
  <c r="AJ25" i="1"/>
  <c r="AI25" i="1"/>
  <c r="AH25" i="1"/>
  <c r="AG25" i="1"/>
  <c r="AM24" i="1"/>
  <c r="AL24" i="1"/>
  <c r="AK24" i="1"/>
  <c r="AJ24" i="1"/>
  <c r="AI24" i="1"/>
  <c r="AH24" i="1"/>
  <c r="AG24" i="1"/>
  <c r="AM23" i="1"/>
  <c r="AL23" i="1"/>
  <c r="AK23" i="1"/>
  <c r="AJ23" i="1"/>
  <c r="AI23" i="1"/>
  <c r="AH23" i="1"/>
  <c r="AG23" i="1"/>
  <c r="AM22" i="1"/>
  <c r="AL22" i="1"/>
  <c r="AK22" i="1"/>
  <c r="AJ22" i="1"/>
  <c r="AI22" i="1"/>
  <c r="AH22" i="1"/>
  <c r="AG22" i="1"/>
  <c r="AM21" i="1"/>
  <c r="AL21" i="1"/>
  <c r="AK21" i="1"/>
  <c r="AJ21" i="1"/>
  <c r="AI21" i="1"/>
  <c r="AH21" i="1"/>
  <c r="AG21" i="1"/>
  <c r="AM20" i="1"/>
  <c r="AL20" i="1"/>
  <c r="AK20" i="1"/>
  <c r="AJ20" i="1"/>
  <c r="AI20" i="1"/>
  <c r="AH20" i="1"/>
  <c r="AG20" i="1"/>
  <c r="AM19" i="1"/>
  <c r="AL19" i="1"/>
  <c r="AK19" i="1"/>
  <c r="AJ19" i="1"/>
  <c r="AI19" i="1"/>
  <c r="AH19" i="1"/>
  <c r="AG19" i="1"/>
  <c r="AM18" i="1"/>
  <c r="AL18" i="1"/>
  <c r="AK18" i="1"/>
  <c r="AJ18" i="1"/>
  <c r="AI18" i="1"/>
  <c r="AH18" i="1"/>
  <c r="AG18" i="1"/>
  <c r="AM17" i="1"/>
  <c r="AL17" i="1"/>
  <c r="AK17" i="1"/>
  <c r="AJ17" i="1"/>
  <c r="AI17" i="1"/>
  <c r="AH17" i="1"/>
  <c r="AG17" i="1"/>
  <c r="AM16" i="1"/>
  <c r="AL16" i="1"/>
  <c r="AK16" i="1"/>
  <c r="AJ16" i="1"/>
  <c r="AI16" i="1"/>
  <c r="AH16" i="1"/>
  <c r="AG16" i="1"/>
  <c r="AM15" i="1"/>
  <c r="AL15" i="1"/>
  <c r="AK15" i="1"/>
  <c r="AJ15" i="1"/>
  <c r="AI15" i="1"/>
  <c r="AH15" i="1"/>
  <c r="AG15" i="1"/>
  <c r="AM14" i="1"/>
  <c r="AL14" i="1"/>
  <c r="AK14" i="1"/>
  <c r="AJ14" i="1"/>
  <c r="AI14" i="1"/>
  <c r="AH14" i="1"/>
  <c r="AG14" i="1"/>
  <c r="AE5" i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4" i="1"/>
  <c r="AC182" i="1"/>
  <c r="AB182" i="1"/>
  <c r="AA182" i="1"/>
  <c r="Z182" i="1"/>
  <c r="Y182" i="1"/>
  <c r="X182" i="1"/>
  <c r="W182" i="1"/>
  <c r="AC181" i="1"/>
  <c r="AB181" i="1"/>
  <c r="AA181" i="1"/>
  <c r="Z181" i="1"/>
  <c r="Y181" i="1"/>
  <c r="X181" i="1"/>
  <c r="W181" i="1"/>
  <c r="AC180" i="1"/>
  <c r="AB180" i="1"/>
  <c r="AA180" i="1"/>
  <c r="Z180" i="1"/>
  <c r="Y180" i="1"/>
  <c r="X180" i="1"/>
  <c r="W180" i="1"/>
  <c r="AC179" i="1"/>
  <c r="AB179" i="1"/>
  <c r="AA179" i="1"/>
  <c r="Z179" i="1"/>
  <c r="Y179" i="1"/>
  <c r="X179" i="1"/>
  <c r="W179" i="1"/>
  <c r="AC178" i="1"/>
  <c r="AB178" i="1"/>
  <c r="AA178" i="1"/>
  <c r="Z178" i="1"/>
  <c r="Y178" i="1"/>
  <c r="X178" i="1"/>
  <c r="W178" i="1"/>
  <c r="AC177" i="1"/>
  <c r="AB177" i="1"/>
  <c r="AA177" i="1"/>
  <c r="Z177" i="1"/>
  <c r="Y177" i="1"/>
  <c r="X177" i="1"/>
  <c r="W177" i="1"/>
  <c r="AC176" i="1"/>
  <c r="AB176" i="1"/>
  <c r="AA176" i="1"/>
  <c r="Z176" i="1"/>
  <c r="Y176" i="1"/>
  <c r="X176" i="1"/>
  <c r="W176" i="1"/>
  <c r="AC175" i="1"/>
  <c r="AB175" i="1"/>
  <c r="AA175" i="1"/>
  <c r="Z175" i="1"/>
  <c r="Y175" i="1"/>
  <c r="X175" i="1"/>
  <c r="W175" i="1"/>
  <c r="AC174" i="1"/>
  <c r="AB174" i="1"/>
  <c r="AA174" i="1"/>
  <c r="Z174" i="1"/>
  <c r="Y174" i="1"/>
  <c r="X174" i="1"/>
  <c r="W174" i="1"/>
  <c r="AC173" i="1"/>
  <c r="AB173" i="1"/>
  <c r="AA173" i="1"/>
  <c r="Z173" i="1"/>
  <c r="Y173" i="1"/>
  <c r="X173" i="1"/>
  <c r="W173" i="1"/>
  <c r="AC172" i="1"/>
  <c r="AB172" i="1"/>
  <c r="AA172" i="1"/>
  <c r="Z172" i="1"/>
  <c r="Y172" i="1"/>
  <c r="X172" i="1"/>
  <c r="W172" i="1"/>
  <c r="AC171" i="1"/>
  <c r="AB171" i="1"/>
  <c r="AA171" i="1"/>
  <c r="Z171" i="1"/>
  <c r="Y171" i="1"/>
  <c r="X171" i="1"/>
  <c r="W171" i="1"/>
  <c r="AC170" i="1"/>
  <c r="AB170" i="1"/>
  <c r="AA170" i="1"/>
  <c r="Z170" i="1"/>
  <c r="Y170" i="1"/>
  <c r="X170" i="1"/>
  <c r="W170" i="1"/>
  <c r="AC169" i="1"/>
  <c r="AB169" i="1"/>
  <c r="AA169" i="1"/>
  <c r="Z169" i="1"/>
  <c r="Y169" i="1"/>
  <c r="X169" i="1"/>
  <c r="W169" i="1"/>
  <c r="AC168" i="1"/>
  <c r="AB168" i="1"/>
  <c r="AA168" i="1"/>
  <c r="Z168" i="1"/>
  <c r="Y168" i="1"/>
  <c r="X168" i="1"/>
  <c r="W168" i="1"/>
  <c r="AC167" i="1"/>
  <c r="AB167" i="1"/>
  <c r="AA167" i="1"/>
  <c r="Z167" i="1"/>
  <c r="Y167" i="1"/>
  <c r="X167" i="1"/>
  <c r="W167" i="1"/>
  <c r="AC166" i="1"/>
  <c r="AB166" i="1"/>
  <c r="AA166" i="1"/>
  <c r="Z166" i="1"/>
  <c r="Y166" i="1"/>
  <c r="X166" i="1"/>
  <c r="W166" i="1"/>
  <c r="AC165" i="1"/>
  <c r="AB165" i="1"/>
  <c r="AA165" i="1"/>
  <c r="Z165" i="1"/>
  <c r="Y165" i="1"/>
  <c r="X165" i="1"/>
  <c r="W165" i="1"/>
  <c r="AC164" i="1"/>
  <c r="AB164" i="1"/>
  <c r="AA164" i="1"/>
  <c r="Z164" i="1"/>
  <c r="Y164" i="1"/>
  <c r="X164" i="1"/>
  <c r="W164" i="1"/>
  <c r="AC163" i="1"/>
  <c r="AB163" i="1"/>
  <c r="AA163" i="1"/>
  <c r="Z163" i="1"/>
  <c r="Y163" i="1"/>
  <c r="X163" i="1"/>
  <c r="W163" i="1"/>
  <c r="AC162" i="1"/>
  <c r="AB162" i="1"/>
  <c r="AA162" i="1"/>
  <c r="Z162" i="1"/>
  <c r="Y162" i="1"/>
  <c r="X162" i="1"/>
  <c r="W162" i="1"/>
  <c r="AC161" i="1"/>
  <c r="AB161" i="1"/>
  <c r="AA161" i="1"/>
  <c r="Z161" i="1"/>
  <c r="Y161" i="1"/>
  <c r="X161" i="1"/>
  <c r="W161" i="1"/>
  <c r="AC160" i="1"/>
  <c r="AB160" i="1"/>
  <c r="AA160" i="1"/>
  <c r="Z160" i="1"/>
  <c r="Y160" i="1"/>
  <c r="X160" i="1"/>
  <c r="W160" i="1"/>
  <c r="AC159" i="1"/>
  <c r="AB159" i="1"/>
  <c r="AA159" i="1"/>
  <c r="Z159" i="1"/>
  <c r="Y159" i="1"/>
  <c r="X159" i="1"/>
  <c r="W159" i="1"/>
  <c r="AC158" i="1"/>
  <c r="AB158" i="1"/>
  <c r="AA158" i="1"/>
  <c r="Z158" i="1"/>
  <c r="Y158" i="1"/>
  <c r="X158" i="1"/>
  <c r="W158" i="1"/>
  <c r="AC157" i="1"/>
  <c r="AB157" i="1"/>
  <c r="AA157" i="1"/>
  <c r="Z157" i="1"/>
  <c r="Y157" i="1"/>
  <c r="X157" i="1"/>
  <c r="W157" i="1"/>
  <c r="AC156" i="1"/>
  <c r="AB156" i="1"/>
  <c r="AA156" i="1"/>
  <c r="Z156" i="1"/>
  <c r="Y156" i="1"/>
  <c r="X156" i="1"/>
  <c r="W156" i="1"/>
  <c r="AC155" i="1"/>
  <c r="AB155" i="1"/>
  <c r="AA155" i="1"/>
  <c r="Z155" i="1"/>
  <c r="Y155" i="1"/>
  <c r="X155" i="1"/>
  <c r="W155" i="1"/>
  <c r="AC154" i="1"/>
  <c r="AB154" i="1"/>
  <c r="AA154" i="1"/>
  <c r="Z154" i="1"/>
  <c r="Y154" i="1"/>
  <c r="X154" i="1"/>
  <c r="W154" i="1"/>
  <c r="AC153" i="1"/>
  <c r="AB153" i="1"/>
  <c r="AA153" i="1"/>
  <c r="Z153" i="1"/>
  <c r="Y153" i="1"/>
  <c r="X153" i="1"/>
  <c r="W153" i="1"/>
  <c r="AC152" i="1"/>
  <c r="AB152" i="1"/>
  <c r="AA152" i="1"/>
  <c r="Z152" i="1"/>
  <c r="Y152" i="1"/>
  <c r="X152" i="1"/>
  <c r="W152" i="1"/>
  <c r="AC151" i="1"/>
  <c r="AB151" i="1"/>
  <c r="AA151" i="1"/>
  <c r="Z151" i="1"/>
  <c r="Y151" i="1"/>
  <c r="X151" i="1"/>
  <c r="W151" i="1"/>
  <c r="AC150" i="1"/>
  <c r="AB150" i="1"/>
  <c r="AA150" i="1"/>
  <c r="Z150" i="1"/>
  <c r="Y150" i="1"/>
  <c r="X150" i="1"/>
  <c r="W150" i="1"/>
  <c r="AC149" i="1"/>
  <c r="AB149" i="1"/>
  <c r="AA149" i="1"/>
  <c r="Z149" i="1"/>
  <c r="Y149" i="1"/>
  <c r="X149" i="1"/>
  <c r="W149" i="1"/>
  <c r="AC148" i="1"/>
  <c r="AB148" i="1"/>
  <c r="AA148" i="1"/>
  <c r="Z148" i="1"/>
  <c r="Y148" i="1"/>
  <c r="X148" i="1"/>
  <c r="W148" i="1"/>
  <c r="AC147" i="1"/>
  <c r="AB147" i="1"/>
  <c r="AA147" i="1"/>
  <c r="Z147" i="1"/>
  <c r="Y147" i="1"/>
  <c r="X147" i="1"/>
  <c r="W147" i="1"/>
  <c r="AC146" i="1"/>
  <c r="AB146" i="1"/>
  <c r="AA146" i="1"/>
  <c r="Z146" i="1"/>
  <c r="Y146" i="1"/>
  <c r="X146" i="1"/>
  <c r="W146" i="1"/>
  <c r="AC145" i="1"/>
  <c r="AB145" i="1"/>
  <c r="AA145" i="1"/>
  <c r="Z145" i="1"/>
  <c r="Y145" i="1"/>
  <c r="X145" i="1"/>
  <c r="W145" i="1"/>
  <c r="AC144" i="1"/>
  <c r="AB144" i="1"/>
  <c r="AA144" i="1"/>
  <c r="Z144" i="1"/>
  <c r="Y144" i="1"/>
  <c r="X144" i="1"/>
  <c r="W144" i="1"/>
  <c r="AC143" i="1"/>
  <c r="AB143" i="1"/>
  <c r="AA143" i="1"/>
  <c r="Z143" i="1"/>
  <c r="Y143" i="1"/>
  <c r="X143" i="1"/>
  <c r="W143" i="1"/>
  <c r="AC142" i="1"/>
  <c r="AB142" i="1"/>
  <c r="AA142" i="1"/>
  <c r="Z142" i="1"/>
  <c r="Y142" i="1"/>
  <c r="X142" i="1"/>
  <c r="W142" i="1"/>
  <c r="AC141" i="1"/>
  <c r="AB141" i="1"/>
  <c r="AA141" i="1"/>
  <c r="Z141" i="1"/>
  <c r="Y141" i="1"/>
  <c r="X141" i="1"/>
  <c r="W141" i="1"/>
  <c r="AC140" i="1"/>
  <c r="AB140" i="1"/>
  <c r="AA140" i="1"/>
  <c r="Z140" i="1"/>
  <c r="Y140" i="1"/>
  <c r="X140" i="1"/>
  <c r="W140" i="1"/>
  <c r="AC139" i="1"/>
  <c r="AB139" i="1"/>
  <c r="AA139" i="1"/>
  <c r="Z139" i="1"/>
  <c r="Y139" i="1"/>
  <c r="X139" i="1"/>
  <c r="W139" i="1"/>
  <c r="AC138" i="1"/>
  <c r="AB138" i="1"/>
  <c r="AA138" i="1"/>
  <c r="Z138" i="1"/>
  <c r="Y138" i="1"/>
  <c r="X138" i="1"/>
  <c r="W138" i="1"/>
  <c r="AC137" i="1"/>
  <c r="AB137" i="1"/>
  <c r="AA137" i="1"/>
  <c r="Z137" i="1"/>
  <c r="Y137" i="1"/>
  <c r="X137" i="1"/>
  <c r="W137" i="1"/>
  <c r="AC136" i="1"/>
  <c r="AB136" i="1"/>
  <c r="AA136" i="1"/>
  <c r="Z136" i="1"/>
  <c r="Y136" i="1"/>
  <c r="X136" i="1"/>
  <c r="W136" i="1"/>
  <c r="AC135" i="1"/>
  <c r="AB135" i="1"/>
  <c r="AA135" i="1"/>
  <c r="Z135" i="1"/>
  <c r="Y135" i="1"/>
  <c r="X135" i="1"/>
  <c r="W135" i="1"/>
  <c r="AC134" i="1"/>
  <c r="AB134" i="1"/>
  <c r="AA134" i="1"/>
  <c r="Z134" i="1"/>
  <c r="Y134" i="1"/>
  <c r="X134" i="1"/>
  <c r="W134" i="1"/>
  <c r="AC133" i="1"/>
  <c r="AB133" i="1"/>
  <c r="AA133" i="1"/>
  <c r="Z133" i="1"/>
  <c r="Y133" i="1"/>
  <c r="X133" i="1"/>
  <c r="W133" i="1"/>
  <c r="AC132" i="1"/>
  <c r="AB132" i="1"/>
  <c r="AA132" i="1"/>
  <c r="Z132" i="1"/>
  <c r="Y132" i="1"/>
  <c r="X132" i="1"/>
  <c r="W132" i="1"/>
  <c r="AC131" i="1"/>
  <c r="AB131" i="1"/>
  <c r="AA131" i="1"/>
  <c r="Z131" i="1"/>
  <c r="Y131" i="1"/>
  <c r="X131" i="1"/>
  <c r="W131" i="1"/>
  <c r="AC130" i="1"/>
  <c r="AB130" i="1"/>
  <c r="AA130" i="1"/>
  <c r="Z130" i="1"/>
  <c r="Y130" i="1"/>
  <c r="X130" i="1"/>
  <c r="W130" i="1"/>
  <c r="AC129" i="1"/>
  <c r="AB129" i="1"/>
  <c r="AA129" i="1"/>
  <c r="Z129" i="1"/>
  <c r="Y129" i="1"/>
  <c r="X129" i="1"/>
  <c r="W129" i="1"/>
  <c r="AC128" i="1"/>
  <c r="AB128" i="1"/>
  <c r="AA128" i="1"/>
  <c r="Z128" i="1"/>
  <c r="Y128" i="1"/>
  <c r="X128" i="1"/>
  <c r="W128" i="1"/>
  <c r="AC127" i="1"/>
  <c r="AB127" i="1"/>
  <c r="AA127" i="1"/>
  <c r="Z127" i="1"/>
  <c r="Y127" i="1"/>
  <c r="X127" i="1"/>
  <c r="W127" i="1"/>
  <c r="AC126" i="1"/>
  <c r="AB126" i="1"/>
  <c r="AA126" i="1"/>
  <c r="Z126" i="1"/>
  <c r="Y126" i="1"/>
  <c r="X126" i="1"/>
  <c r="W126" i="1"/>
  <c r="AC125" i="1"/>
  <c r="AB125" i="1"/>
  <c r="AA125" i="1"/>
  <c r="Z125" i="1"/>
  <c r="Y125" i="1"/>
  <c r="X125" i="1"/>
  <c r="W125" i="1"/>
  <c r="AC124" i="1"/>
  <c r="AB124" i="1"/>
  <c r="AA124" i="1"/>
  <c r="Z124" i="1"/>
  <c r="Y124" i="1"/>
  <c r="X124" i="1"/>
  <c r="W124" i="1"/>
  <c r="AC123" i="1"/>
  <c r="AB123" i="1"/>
  <c r="AA123" i="1"/>
  <c r="Z123" i="1"/>
  <c r="Y123" i="1"/>
  <c r="X123" i="1"/>
  <c r="W123" i="1"/>
  <c r="AC122" i="1"/>
  <c r="AB122" i="1"/>
  <c r="AA122" i="1"/>
  <c r="Z122" i="1"/>
  <c r="Y122" i="1"/>
  <c r="X122" i="1"/>
  <c r="W122" i="1"/>
  <c r="AC121" i="1"/>
  <c r="AB121" i="1"/>
  <c r="AA121" i="1"/>
  <c r="Z121" i="1"/>
  <c r="Y121" i="1"/>
  <c r="X121" i="1"/>
  <c r="W121" i="1"/>
  <c r="AC120" i="1"/>
  <c r="AB120" i="1"/>
  <c r="AA120" i="1"/>
  <c r="Z120" i="1"/>
  <c r="Y120" i="1"/>
  <c r="X120" i="1"/>
  <c r="W120" i="1"/>
  <c r="AC119" i="1"/>
  <c r="AB119" i="1"/>
  <c r="AA119" i="1"/>
  <c r="Z119" i="1"/>
  <c r="Y119" i="1"/>
  <c r="X119" i="1"/>
  <c r="W119" i="1"/>
  <c r="AC118" i="1"/>
  <c r="AB118" i="1"/>
  <c r="AA118" i="1"/>
  <c r="Z118" i="1"/>
  <c r="Y118" i="1"/>
  <c r="X118" i="1"/>
  <c r="W118" i="1"/>
  <c r="AC117" i="1"/>
  <c r="AB117" i="1"/>
  <c r="AA117" i="1"/>
  <c r="Z117" i="1"/>
  <c r="Y117" i="1"/>
  <c r="X117" i="1"/>
  <c r="W117" i="1"/>
  <c r="AC116" i="1"/>
  <c r="AB116" i="1"/>
  <c r="AA116" i="1"/>
  <c r="Z116" i="1"/>
  <c r="Y116" i="1"/>
  <c r="X116" i="1"/>
  <c r="W116" i="1"/>
  <c r="AC115" i="1"/>
  <c r="AB115" i="1"/>
  <c r="AA115" i="1"/>
  <c r="Z115" i="1"/>
  <c r="Y115" i="1"/>
  <c r="X115" i="1"/>
  <c r="W115" i="1"/>
  <c r="AC114" i="1"/>
  <c r="AB114" i="1"/>
  <c r="AA114" i="1"/>
  <c r="Z114" i="1"/>
  <c r="Y114" i="1"/>
  <c r="X114" i="1"/>
  <c r="W114" i="1"/>
  <c r="AC113" i="1"/>
  <c r="AB113" i="1"/>
  <c r="AA113" i="1"/>
  <c r="Z113" i="1"/>
  <c r="Y113" i="1"/>
  <c r="X113" i="1"/>
  <c r="W113" i="1"/>
  <c r="AC112" i="1"/>
  <c r="AB112" i="1"/>
  <c r="AA112" i="1"/>
  <c r="Z112" i="1"/>
  <c r="Y112" i="1"/>
  <c r="X112" i="1"/>
  <c r="W112" i="1"/>
  <c r="AC111" i="1"/>
  <c r="AB111" i="1"/>
  <c r="AA111" i="1"/>
  <c r="Z111" i="1"/>
  <c r="Y111" i="1"/>
  <c r="X111" i="1"/>
  <c r="W111" i="1"/>
  <c r="AC110" i="1"/>
  <c r="AB110" i="1"/>
  <c r="AA110" i="1"/>
  <c r="Z110" i="1"/>
  <c r="Y110" i="1"/>
  <c r="X110" i="1"/>
  <c r="W110" i="1"/>
  <c r="AC109" i="1"/>
  <c r="AB109" i="1"/>
  <c r="AA109" i="1"/>
  <c r="Z109" i="1"/>
  <c r="Y109" i="1"/>
  <c r="X109" i="1"/>
  <c r="W109" i="1"/>
  <c r="AC108" i="1"/>
  <c r="AB108" i="1"/>
  <c r="AA108" i="1"/>
  <c r="Z108" i="1"/>
  <c r="Y108" i="1"/>
  <c r="X108" i="1"/>
  <c r="W108" i="1"/>
  <c r="AC107" i="1"/>
  <c r="AB107" i="1"/>
  <c r="AA107" i="1"/>
  <c r="Z107" i="1"/>
  <c r="Y107" i="1"/>
  <c r="X107" i="1"/>
  <c r="W107" i="1"/>
  <c r="AC106" i="1"/>
  <c r="AB106" i="1"/>
  <c r="AA106" i="1"/>
  <c r="Z106" i="1"/>
  <c r="Y106" i="1"/>
  <c r="X106" i="1"/>
  <c r="W106" i="1"/>
  <c r="AC105" i="1"/>
  <c r="AB105" i="1"/>
  <c r="AA105" i="1"/>
  <c r="Z105" i="1"/>
  <c r="Y105" i="1"/>
  <c r="X105" i="1"/>
  <c r="W105" i="1"/>
  <c r="AC104" i="1"/>
  <c r="AB104" i="1"/>
  <c r="AA104" i="1"/>
  <c r="Z104" i="1"/>
  <c r="Y104" i="1"/>
  <c r="X104" i="1"/>
  <c r="W104" i="1"/>
  <c r="AC103" i="1"/>
  <c r="AB103" i="1"/>
  <c r="AA103" i="1"/>
  <c r="Z103" i="1"/>
  <c r="Y103" i="1"/>
  <c r="X103" i="1"/>
  <c r="W103" i="1"/>
  <c r="AC102" i="1"/>
  <c r="AB102" i="1"/>
  <c r="AA102" i="1"/>
  <c r="Z102" i="1"/>
  <c r="Y102" i="1"/>
  <c r="X102" i="1"/>
  <c r="W102" i="1"/>
  <c r="AC101" i="1"/>
  <c r="AB101" i="1"/>
  <c r="AA101" i="1"/>
  <c r="Z101" i="1"/>
  <c r="Y101" i="1"/>
  <c r="X101" i="1"/>
  <c r="W101" i="1"/>
  <c r="AC100" i="1"/>
  <c r="AB100" i="1"/>
  <c r="AA100" i="1"/>
  <c r="Z100" i="1"/>
  <c r="Y100" i="1"/>
  <c r="X100" i="1"/>
  <c r="W100" i="1"/>
  <c r="AC99" i="1"/>
  <c r="AB99" i="1"/>
  <c r="AA99" i="1"/>
  <c r="Z99" i="1"/>
  <c r="Y99" i="1"/>
  <c r="X99" i="1"/>
  <c r="W99" i="1"/>
  <c r="AC98" i="1"/>
  <c r="AB98" i="1"/>
  <c r="AA98" i="1"/>
  <c r="Z98" i="1"/>
  <c r="Y98" i="1"/>
  <c r="X98" i="1"/>
  <c r="W98" i="1"/>
  <c r="AC97" i="1"/>
  <c r="AB97" i="1"/>
  <c r="AA97" i="1"/>
  <c r="Z97" i="1"/>
  <c r="Y97" i="1"/>
  <c r="X97" i="1"/>
  <c r="W97" i="1"/>
  <c r="AC96" i="1"/>
  <c r="AB96" i="1"/>
  <c r="AA96" i="1"/>
  <c r="Z96" i="1"/>
  <c r="Y96" i="1"/>
  <c r="X96" i="1"/>
  <c r="W96" i="1"/>
  <c r="AC95" i="1"/>
  <c r="AB95" i="1"/>
  <c r="AA95" i="1"/>
  <c r="Z95" i="1"/>
  <c r="Y95" i="1"/>
  <c r="X95" i="1"/>
  <c r="W95" i="1"/>
  <c r="AC94" i="1"/>
  <c r="AB94" i="1"/>
  <c r="AA94" i="1"/>
  <c r="Z94" i="1"/>
  <c r="Y94" i="1"/>
  <c r="X94" i="1"/>
  <c r="W94" i="1"/>
  <c r="AC93" i="1"/>
  <c r="AB93" i="1"/>
  <c r="AA93" i="1"/>
  <c r="Z93" i="1"/>
  <c r="Y93" i="1"/>
  <c r="X93" i="1"/>
  <c r="W93" i="1"/>
  <c r="AC92" i="1"/>
  <c r="AB92" i="1"/>
  <c r="AA92" i="1"/>
  <c r="Z92" i="1"/>
  <c r="Y92" i="1"/>
  <c r="X92" i="1"/>
  <c r="W92" i="1"/>
  <c r="AC91" i="1"/>
  <c r="AB91" i="1"/>
  <c r="AA91" i="1"/>
  <c r="Z91" i="1"/>
  <c r="Y91" i="1"/>
  <c r="X91" i="1"/>
  <c r="W91" i="1"/>
  <c r="AC90" i="1"/>
  <c r="AB90" i="1"/>
  <c r="AA90" i="1"/>
  <c r="Z90" i="1"/>
  <c r="Y90" i="1"/>
  <c r="X90" i="1"/>
  <c r="W90" i="1"/>
  <c r="AC89" i="1"/>
  <c r="AB89" i="1"/>
  <c r="AA89" i="1"/>
  <c r="Z89" i="1"/>
  <c r="Y89" i="1"/>
  <c r="X89" i="1"/>
  <c r="W89" i="1"/>
  <c r="AC88" i="1"/>
  <c r="AB88" i="1"/>
  <c r="AA88" i="1"/>
  <c r="Z88" i="1"/>
  <c r="Y88" i="1"/>
  <c r="X88" i="1"/>
  <c r="W88" i="1"/>
  <c r="AC87" i="1"/>
  <c r="AB87" i="1"/>
  <c r="AA87" i="1"/>
  <c r="Z87" i="1"/>
  <c r="Y87" i="1"/>
  <c r="X87" i="1"/>
  <c r="W87" i="1"/>
  <c r="AC86" i="1"/>
  <c r="AB86" i="1"/>
  <c r="AA86" i="1"/>
  <c r="Z86" i="1"/>
  <c r="Y86" i="1"/>
  <c r="X86" i="1"/>
  <c r="W86" i="1"/>
  <c r="AC85" i="1"/>
  <c r="AB85" i="1"/>
  <c r="AA85" i="1"/>
  <c r="Z85" i="1"/>
  <c r="Y85" i="1"/>
  <c r="X85" i="1"/>
  <c r="W85" i="1"/>
  <c r="AC84" i="1"/>
  <c r="AB84" i="1"/>
  <c r="AA84" i="1"/>
  <c r="Z84" i="1"/>
  <c r="Y84" i="1"/>
  <c r="X84" i="1"/>
  <c r="W84" i="1"/>
  <c r="AC83" i="1"/>
  <c r="AB83" i="1"/>
  <c r="AA83" i="1"/>
  <c r="Z83" i="1"/>
  <c r="Y83" i="1"/>
  <c r="X83" i="1"/>
  <c r="W83" i="1"/>
  <c r="AC82" i="1"/>
  <c r="AB82" i="1"/>
  <c r="AA82" i="1"/>
  <c r="Z82" i="1"/>
  <c r="Y82" i="1"/>
  <c r="X82" i="1"/>
  <c r="W82" i="1"/>
  <c r="AC81" i="1"/>
  <c r="AB81" i="1"/>
  <c r="AA81" i="1"/>
  <c r="Z81" i="1"/>
  <c r="Y81" i="1"/>
  <c r="X81" i="1"/>
  <c r="W81" i="1"/>
  <c r="AC80" i="1"/>
  <c r="AB80" i="1"/>
  <c r="AA80" i="1"/>
  <c r="Z80" i="1"/>
  <c r="Y80" i="1"/>
  <c r="X80" i="1"/>
  <c r="W80" i="1"/>
  <c r="AC79" i="1"/>
  <c r="AB79" i="1"/>
  <c r="AA79" i="1"/>
  <c r="Z79" i="1"/>
  <c r="Y79" i="1"/>
  <c r="X79" i="1"/>
  <c r="W79" i="1"/>
  <c r="AC78" i="1"/>
  <c r="AB78" i="1"/>
  <c r="AA78" i="1"/>
  <c r="Z78" i="1"/>
  <c r="Y78" i="1"/>
  <c r="X78" i="1"/>
  <c r="W78" i="1"/>
  <c r="AC77" i="1"/>
  <c r="AB77" i="1"/>
  <c r="AA77" i="1"/>
  <c r="Z77" i="1"/>
  <c r="Y77" i="1"/>
  <c r="X77" i="1"/>
  <c r="W77" i="1"/>
  <c r="AC76" i="1"/>
  <c r="AB76" i="1"/>
  <c r="AA76" i="1"/>
  <c r="Z76" i="1"/>
  <c r="Y76" i="1"/>
  <c r="X76" i="1"/>
  <c r="W76" i="1"/>
  <c r="AC75" i="1"/>
  <c r="AB75" i="1"/>
  <c r="AA75" i="1"/>
  <c r="Z75" i="1"/>
  <c r="Y75" i="1"/>
  <c r="X75" i="1"/>
  <c r="W75" i="1"/>
  <c r="AC74" i="1"/>
  <c r="AB74" i="1"/>
  <c r="AA74" i="1"/>
  <c r="Z74" i="1"/>
  <c r="Y74" i="1"/>
  <c r="X74" i="1"/>
  <c r="W74" i="1"/>
  <c r="AC73" i="1"/>
  <c r="AB73" i="1"/>
  <c r="AA73" i="1"/>
  <c r="Z73" i="1"/>
  <c r="Y73" i="1"/>
  <c r="X73" i="1"/>
  <c r="W73" i="1"/>
  <c r="AC72" i="1"/>
  <c r="AB72" i="1"/>
  <c r="AA72" i="1"/>
  <c r="Z72" i="1"/>
  <c r="Y72" i="1"/>
  <c r="X72" i="1"/>
  <c r="W72" i="1"/>
  <c r="AC71" i="1"/>
  <c r="AB71" i="1"/>
  <c r="AA71" i="1"/>
  <c r="Z71" i="1"/>
  <c r="Y71" i="1"/>
  <c r="X71" i="1"/>
  <c r="W71" i="1"/>
  <c r="AC70" i="1"/>
  <c r="AB70" i="1"/>
  <c r="AA70" i="1"/>
  <c r="Z70" i="1"/>
  <c r="Y70" i="1"/>
  <c r="X70" i="1"/>
  <c r="W70" i="1"/>
  <c r="AC69" i="1"/>
  <c r="AB69" i="1"/>
  <c r="AA69" i="1"/>
  <c r="Z69" i="1"/>
  <c r="Y69" i="1"/>
  <c r="X69" i="1"/>
  <c r="W69" i="1"/>
  <c r="AC68" i="1"/>
  <c r="AB68" i="1"/>
  <c r="AA68" i="1"/>
  <c r="Z68" i="1"/>
  <c r="Y68" i="1"/>
  <c r="X68" i="1"/>
  <c r="W68" i="1"/>
  <c r="AC67" i="1"/>
  <c r="AB67" i="1"/>
  <c r="AA67" i="1"/>
  <c r="Z67" i="1"/>
  <c r="Y67" i="1"/>
  <c r="X67" i="1"/>
  <c r="W67" i="1"/>
  <c r="AC66" i="1"/>
  <c r="AB66" i="1"/>
  <c r="AA66" i="1"/>
  <c r="Z66" i="1"/>
  <c r="Y66" i="1"/>
  <c r="X66" i="1"/>
  <c r="W66" i="1"/>
  <c r="AC65" i="1"/>
  <c r="AB65" i="1"/>
  <c r="AA65" i="1"/>
  <c r="Z65" i="1"/>
  <c r="Y65" i="1"/>
  <c r="X65" i="1"/>
  <c r="W65" i="1"/>
  <c r="AC64" i="1"/>
  <c r="AB64" i="1"/>
  <c r="AA64" i="1"/>
  <c r="Z64" i="1"/>
  <c r="Y64" i="1"/>
  <c r="X64" i="1"/>
  <c r="W64" i="1"/>
  <c r="AC63" i="1"/>
  <c r="AB63" i="1"/>
  <c r="AA63" i="1"/>
  <c r="Z63" i="1"/>
  <c r="Y63" i="1"/>
  <c r="X63" i="1"/>
  <c r="W63" i="1"/>
  <c r="AC62" i="1"/>
  <c r="AB62" i="1"/>
  <c r="AA62" i="1"/>
  <c r="Z62" i="1"/>
  <c r="Y62" i="1"/>
  <c r="X62" i="1"/>
  <c r="W62" i="1"/>
  <c r="AC61" i="1"/>
  <c r="AB61" i="1"/>
  <c r="AA61" i="1"/>
  <c r="Z61" i="1"/>
  <c r="Y61" i="1"/>
  <c r="X61" i="1"/>
  <c r="W61" i="1"/>
  <c r="AC60" i="1"/>
  <c r="AB60" i="1"/>
  <c r="AA60" i="1"/>
  <c r="Z60" i="1"/>
  <c r="Y60" i="1"/>
  <c r="X60" i="1"/>
  <c r="W60" i="1"/>
  <c r="AC59" i="1"/>
  <c r="AB59" i="1"/>
  <c r="AA59" i="1"/>
  <c r="Z59" i="1"/>
  <c r="Y59" i="1"/>
  <c r="X59" i="1"/>
  <c r="W59" i="1"/>
  <c r="AC58" i="1"/>
  <c r="AB58" i="1"/>
  <c r="AA58" i="1"/>
  <c r="Z58" i="1"/>
  <c r="Y58" i="1"/>
  <c r="X58" i="1"/>
  <c r="W58" i="1"/>
  <c r="AC57" i="1"/>
  <c r="AB57" i="1"/>
  <c r="AA57" i="1"/>
  <c r="Z57" i="1"/>
  <c r="Y57" i="1"/>
  <c r="X57" i="1"/>
  <c r="W57" i="1"/>
  <c r="AC56" i="1"/>
  <c r="AB56" i="1"/>
  <c r="AA56" i="1"/>
  <c r="Z56" i="1"/>
  <c r="Y56" i="1"/>
  <c r="X56" i="1"/>
  <c r="W56" i="1"/>
  <c r="AC55" i="1"/>
  <c r="AB55" i="1"/>
  <c r="AA55" i="1"/>
  <c r="Z55" i="1"/>
  <c r="Y55" i="1"/>
  <c r="X55" i="1"/>
  <c r="W55" i="1"/>
  <c r="AC54" i="1"/>
  <c r="AB54" i="1"/>
  <c r="AA54" i="1"/>
  <c r="Z54" i="1"/>
  <c r="Y54" i="1"/>
  <c r="X54" i="1"/>
  <c r="W54" i="1"/>
  <c r="AC53" i="1"/>
  <c r="AB53" i="1"/>
  <c r="AA53" i="1"/>
  <c r="Z53" i="1"/>
  <c r="Y53" i="1"/>
  <c r="X53" i="1"/>
  <c r="W53" i="1"/>
  <c r="AC52" i="1"/>
  <c r="AB52" i="1"/>
  <c r="AA52" i="1"/>
  <c r="Z52" i="1"/>
  <c r="Y52" i="1"/>
  <c r="X52" i="1"/>
  <c r="W52" i="1"/>
  <c r="AC51" i="1"/>
  <c r="AB51" i="1"/>
  <c r="AA51" i="1"/>
  <c r="Z51" i="1"/>
  <c r="Y51" i="1"/>
  <c r="X51" i="1"/>
  <c r="W51" i="1"/>
  <c r="AC50" i="1"/>
  <c r="AB50" i="1"/>
  <c r="AA50" i="1"/>
  <c r="Z50" i="1"/>
  <c r="Y50" i="1"/>
  <c r="X50" i="1"/>
  <c r="W50" i="1"/>
  <c r="AC49" i="1"/>
  <c r="AB49" i="1"/>
  <c r="AA49" i="1"/>
  <c r="Z49" i="1"/>
  <c r="Y49" i="1"/>
  <c r="X49" i="1"/>
  <c r="W49" i="1"/>
  <c r="AC48" i="1"/>
  <c r="AB48" i="1"/>
  <c r="AA48" i="1"/>
  <c r="Z48" i="1"/>
  <c r="Y48" i="1"/>
  <c r="X48" i="1"/>
  <c r="W48" i="1"/>
  <c r="AC47" i="1"/>
  <c r="AB47" i="1"/>
  <c r="AA47" i="1"/>
  <c r="Z47" i="1"/>
  <c r="Y47" i="1"/>
  <c r="X47" i="1"/>
  <c r="W47" i="1"/>
  <c r="AC46" i="1"/>
  <c r="AB46" i="1"/>
  <c r="AA46" i="1"/>
  <c r="Z46" i="1"/>
  <c r="Y46" i="1"/>
  <c r="X46" i="1"/>
  <c r="W46" i="1"/>
  <c r="AC45" i="1"/>
  <c r="AB45" i="1"/>
  <c r="AA45" i="1"/>
  <c r="Z45" i="1"/>
  <c r="Y45" i="1"/>
  <c r="X45" i="1"/>
  <c r="W45" i="1"/>
  <c r="AC44" i="1"/>
  <c r="AB44" i="1"/>
  <c r="AA44" i="1"/>
  <c r="Z44" i="1"/>
  <c r="Y44" i="1"/>
  <c r="X44" i="1"/>
  <c r="W44" i="1"/>
  <c r="AC43" i="1"/>
  <c r="AB43" i="1"/>
  <c r="AA43" i="1"/>
  <c r="Z43" i="1"/>
  <c r="Y43" i="1"/>
  <c r="X43" i="1"/>
  <c r="W43" i="1"/>
  <c r="AC42" i="1"/>
  <c r="AB42" i="1"/>
  <c r="AA42" i="1"/>
  <c r="Z42" i="1"/>
  <c r="Y42" i="1"/>
  <c r="X42" i="1"/>
  <c r="W42" i="1"/>
  <c r="AC41" i="1"/>
  <c r="AB41" i="1"/>
  <c r="AA41" i="1"/>
  <c r="Z41" i="1"/>
  <c r="Y41" i="1"/>
  <c r="X41" i="1"/>
  <c r="W41" i="1"/>
  <c r="AC40" i="1"/>
  <c r="AB40" i="1"/>
  <c r="AA40" i="1"/>
  <c r="Z40" i="1"/>
  <c r="Y40" i="1"/>
  <c r="X40" i="1"/>
  <c r="W40" i="1"/>
  <c r="AC39" i="1"/>
  <c r="AB39" i="1"/>
  <c r="AA39" i="1"/>
  <c r="Z39" i="1"/>
  <c r="Y39" i="1"/>
  <c r="X39" i="1"/>
  <c r="W39" i="1"/>
  <c r="AC38" i="1"/>
  <c r="AB38" i="1"/>
  <c r="AA38" i="1"/>
  <c r="Z38" i="1"/>
  <c r="Y38" i="1"/>
  <c r="X38" i="1"/>
  <c r="W38" i="1"/>
  <c r="AC37" i="1"/>
  <c r="AB37" i="1"/>
  <c r="AA37" i="1"/>
  <c r="Z37" i="1"/>
  <c r="Y37" i="1"/>
  <c r="X37" i="1"/>
  <c r="W37" i="1"/>
  <c r="AC36" i="1"/>
  <c r="AB36" i="1"/>
  <c r="AA36" i="1"/>
  <c r="Z36" i="1"/>
  <c r="Y36" i="1"/>
  <c r="X36" i="1"/>
  <c r="W36" i="1"/>
  <c r="AC35" i="1"/>
  <c r="AB35" i="1"/>
  <c r="AA35" i="1"/>
  <c r="Z35" i="1"/>
  <c r="Y35" i="1"/>
  <c r="X35" i="1"/>
  <c r="W35" i="1"/>
  <c r="AC34" i="1"/>
  <c r="AB34" i="1"/>
  <c r="AA34" i="1"/>
  <c r="Z34" i="1"/>
  <c r="Y34" i="1"/>
  <c r="X34" i="1"/>
  <c r="W34" i="1"/>
  <c r="AC33" i="1"/>
  <c r="AB33" i="1"/>
  <c r="AA33" i="1"/>
  <c r="Z33" i="1"/>
  <c r="Y33" i="1"/>
  <c r="X33" i="1"/>
  <c r="W33" i="1"/>
  <c r="AC32" i="1"/>
  <c r="AB32" i="1"/>
  <c r="AA32" i="1"/>
  <c r="Z32" i="1"/>
  <c r="Y32" i="1"/>
  <c r="X32" i="1"/>
  <c r="W32" i="1"/>
  <c r="AC31" i="1"/>
  <c r="AB31" i="1"/>
  <c r="AA31" i="1"/>
  <c r="Z31" i="1"/>
  <c r="Y31" i="1"/>
  <c r="X31" i="1"/>
  <c r="W31" i="1"/>
  <c r="AC30" i="1"/>
  <c r="AB30" i="1"/>
  <c r="AA30" i="1"/>
  <c r="Z30" i="1"/>
  <c r="Y30" i="1"/>
  <c r="X30" i="1"/>
  <c r="W30" i="1"/>
  <c r="AC29" i="1"/>
  <c r="AB29" i="1"/>
  <c r="AA29" i="1"/>
  <c r="Z29" i="1"/>
  <c r="Y29" i="1"/>
  <c r="X29" i="1"/>
  <c r="W29" i="1"/>
  <c r="AC28" i="1"/>
  <c r="AB28" i="1"/>
  <c r="AA28" i="1"/>
  <c r="Z28" i="1"/>
  <c r="Y28" i="1"/>
  <c r="X28" i="1"/>
  <c r="W28" i="1"/>
  <c r="AC27" i="1"/>
  <c r="AB27" i="1"/>
  <c r="AA27" i="1"/>
  <c r="Z27" i="1"/>
  <c r="Y27" i="1"/>
  <c r="X27" i="1"/>
  <c r="W27" i="1"/>
  <c r="AC26" i="1"/>
  <c r="AB26" i="1"/>
  <c r="AA26" i="1"/>
  <c r="Z26" i="1"/>
  <c r="Y26" i="1"/>
  <c r="X26" i="1"/>
  <c r="W26" i="1"/>
  <c r="AC25" i="1"/>
  <c r="AB25" i="1"/>
  <c r="AA25" i="1"/>
  <c r="Z25" i="1"/>
  <c r="Y25" i="1"/>
  <c r="X25" i="1"/>
  <c r="W25" i="1"/>
  <c r="AC24" i="1"/>
  <c r="AB24" i="1"/>
  <c r="AA24" i="1"/>
  <c r="Z24" i="1"/>
  <c r="Y24" i="1"/>
  <c r="X24" i="1"/>
  <c r="W24" i="1"/>
  <c r="AC23" i="1"/>
  <c r="AB23" i="1"/>
  <c r="AA23" i="1"/>
  <c r="Z23" i="1"/>
  <c r="Y23" i="1"/>
  <c r="X23" i="1"/>
  <c r="W23" i="1"/>
  <c r="AC22" i="1"/>
  <c r="AB22" i="1"/>
  <c r="AA22" i="1"/>
  <c r="Z22" i="1"/>
  <c r="Y22" i="1"/>
  <c r="X22" i="1"/>
  <c r="W22" i="1"/>
  <c r="AC21" i="1"/>
  <c r="AB21" i="1"/>
  <c r="AA21" i="1"/>
  <c r="Z21" i="1"/>
  <c r="Y21" i="1"/>
  <c r="X21" i="1"/>
  <c r="W21" i="1"/>
  <c r="AC20" i="1"/>
  <c r="AB20" i="1"/>
  <c r="AA20" i="1"/>
  <c r="Z20" i="1"/>
  <c r="Y20" i="1"/>
  <c r="X20" i="1"/>
  <c r="W20" i="1"/>
  <c r="AC19" i="1"/>
  <c r="AB19" i="1"/>
  <c r="AA19" i="1"/>
  <c r="Z19" i="1"/>
  <c r="Y19" i="1"/>
  <c r="X19" i="1"/>
  <c r="W19" i="1"/>
  <c r="AC18" i="1"/>
  <c r="AB18" i="1"/>
  <c r="AA18" i="1"/>
  <c r="Z18" i="1"/>
  <c r="Y18" i="1"/>
  <c r="X18" i="1"/>
  <c r="W18" i="1"/>
  <c r="AC17" i="1"/>
  <c r="AB17" i="1"/>
  <c r="AA17" i="1"/>
  <c r="Z17" i="1"/>
  <c r="Y17" i="1"/>
  <c r="X17" i="1"/>
  <c r="W17" i="1"/>
  <c r="AC16" i="1"/>
  <c r="AB16" i="1"/>
  <c r="AA16" i="1"/>
  <c r="Z16" i="1"/>
  <c r="Y16" i="1"/>
  <c r="X16" i="1"/>
  <c r="W16" i="1"/>
  <c r="AC15" i="1"/>
  <c r="AB15" i="1"/>
  <c r="AA15" i="1"/>
  <c r="Z15" i="1"/>
  <c r="Y15" i="1"/>
  <c r="X15" i="1"/>
  <c r="W15" i="1"/>
  <c r="AC14" i="1"/>
  <c r="AB14" i="1"/>
  <c r="AA14" i="1"/>
  <c r="Z14" i="1"/>
  <c r="Y14" i="1"/>
  <c r="X14" i="1"/>
  <c r="W14" i="1"/>
  <c r="AC13" i="1"/>
  <c r="AB13" i="1"/>
  <c r="AA13" i="1"/>
  <c r="Z13" i="1"/>
  <c r="Y13" i="1"/>
  <c r="X13" i="1"/>
  <c r="W13" i="1"/>
  <c r="AC12" i="1"/>
  <c r="AB12" i="1"/>
  <c r="AA12" i="1"/>
  <c r="Z12" i="1"/>
  <c r="Y12" i="1"/>
  <c r="X12" i="1"/>
  <c r="W12" i="1"/>
  <c r="AC11" i="1"/>
  <c r="AB11" i="1"/>
  <c r="AA11" i="1"/>
  <c r="Z11" i="1"/>
  <c r="Y11" i="1"/>
  <c r="X11" i="1"/>
  <c r="W11" i="1"/>
  <c r="AC10" i="1"/>
  <c r="AB10" i="1"/>
  <c r="AA10" i="1"/>
  <c r="Z10" i="1"/>
  <c r="Y10" i="1"/>
  <c r="X10" i="1"/>
  <c r="W10" i="1"/>
  <c r="AC9" i="1"/>
  <c r="AB9" i="1"/>
  <c r="AA9" i="1"/>
  <c r="Z9" i="1"/>
  <c r="Y9" i="1"/>
  <c r="X9" i="1"/>
  <c r="W9" i="1"/>
  <c r="AC8" i="1"/>
  <c r="AB8" i="1"/>
  <c r="AA8" i="1"/>
  <c r="Z8" i="1"/>
  <c r="Y8" i="1"/>
  <c r="X8" i="1"/>
  <c r="W8" i="1"/>
  <c r="AC7" i="1"/>
  <c r="AB7" i="1"/>
  <c r="AA7" i="1"/>
  <c r="Z7" i="1"/>
  <c r="Y7" i="1"/>
  <c r="X7" i="1"/>
  <c r="W7" i="1"/>
  <c r="AC6" i="1"/>
  <c r="AB6" i="1"/>
  <c r="AA6" i="1"/>
  <c r="Z6" i="1"/>
  <c r="Y6" i="1"/>
  <c r="X6" i="1"/>
  <c r="W6" i="1"/>
  <c r="AC5" i="1"/>
  <c r="AB5" i="1"/>
  <c r="AA5" i="1"/>
  <c r="Z5" i="1"/>
  <c r="Y5" i="1"/>
  <c r="X5" i="1"/>
  <c r="W5" i="1"/>
  <c r="AC4" i="1"/>
  <c r="AB4" i="1"/>
  <c r="AA4" i="1"/>
  <c r="Z4" i="1"/>
  <c r="Y4" i="1"/>
  <c r="X4" i="1"/>
  <c r="W4" i="1"/>
  <c r="AC3" i="1"/>
  <c r="AB3" i="1"/>
  <c r="AA3" i="1"/>
  <c r="Z3" i="1"/>
  <c r="Y3" i="1"/>
  <c r="X3" i="1"/>
  <c r="W3" i="1"/>
  <c r="U5" i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4" i="1"/>
  <c r="S184" i="1"/>
  <c r="R184" i="1"/>
  <c r="Q184" i="1"/>
  <c r="P184" i="1"/>
  <c r="O184" i="1"/>
  <c r="N184" i="1"/>
  <c r="M184" i="1"/>
  <c r="S182" i="1"/>
  <c r="R182" i="1"/>
  <c r="Q182" i="1"/>
  <c r="P182" i="1"/>
  <c r="O182" i="1"/>
  <c r="N182" i="1"/>
  <c r="M182" i="1"/>
  <c r="S181" i="1"/>
  <c r="R181" i="1"/>
  <c r="Q181" i="1"/>
  <c r="P181" i="1"/>
  <c r="O181" i="1"/>
  <c r="N181" i="1"/>
  <c r="M181" i="1"/>
  <c r="S180" i="1"/>
  <c r="R180" i="1"/>
  <c r="Q180" i="1"/>
  <c r="P180" i="1"/>
  <c r="O180" i="1"/>
  <c r="N180" i="1"/>
  <c r="M180" i="1"/>
  <c r="S179" i="1"/>
  <c r="R179" i="1"/>
  <c r="Q179" i="1"/>
  <c r="P179" i="1"/>
  <c r="O179" i="1"/>
  <c r="N179" i="1"/>
  <c r="M179" i="1"/>
  <c r="S178" i="1"/>
  <c r="R178" i="1"/>
  <c r="Q178" i="1"/>
  <c r="P178" i="1"/>
  <c r="O178" i="1"/>
  <c r="N178" i="1"/>
  <c r="M178" i="1"/>
  <c r="S177" i="1"/>
  <c r="R177" i="1"/>
  <c r="Q177" i="1"/>
  <c r="P177" i="1"/>
  <c r="O177" i="1"/>
  <c r="N177" i="1"/>
  <c r="M177" i="1"/>
  <c r="S176" i="1"/>
  <c r="R176" i="1"/>
  <c r="Q176" i="1"/>
  <c r="P176" i="1"/>
  <c r="O176" i="1"/>
  <c r="N176" i="1"/>
  <c r="M176" i="1"/>
  <c r="S175" i="1"/>
  <c r="R175" i="1"/>
  <c r="Q175" i="1"/>
  <c r="P175" i="1"/>
  <c r="O175" i="1"/>
  <c r="N175" i="1"/>
  <c r="M175" i="1"/>
  <c r="S174" i="1"/>
  <c r="R174" i="1"/>
  <c r="Q174" i="1"/>
  <c r="P174" i="1"/>
  <c r="O174" i="1"/>
  <c r="N174" i="1"/>
  <c r="M174" i="1"/>
  <c r="S173" i="1"/>
  <c r="R173" i="1"/>
  <c r="Q173" i="1"/>
  <c r="P173" i="1"/>
  <c r="O173" i="1"/>
  <c r="N173" i="1"/>
  <c r="M173" i="1"/>
  <c r="S172" i="1"/>
  <c r="R172" i="1"/>
  <c r="Q172" i="1"/>
  <c r="P172" i="1"/>
  <c r="O172" i="1"/>
  <c r="N172" i="1"/>
  <c r="M172" i="1"/>
  <c r="S171" i="1"/>
  <c r="R171" i="1"/>
  <c r="Q171" i="1"/>
  <c r="P171" i="1"/>
  <c r="O171" i="1"/>
  <c r="N171" i="1"/>
  <c r="M171" i="1"/>
  <c r="S170" i="1"/>
  <c r="R170" i="1"/>
  <c r="Q170" i="1"/>
  <c r="P170" i="1"/>
  <c r="O170" i="1"/>
  <c r="N170" i="1"/>
  <c r="M170" i="1"/>
  <c r="S169" i="1"/>
  <c r="R169" i="1"/>
  <c r="Q169" i="1"/>
  <c r="P169" i="1"/>
  <c r="O169" i="1"/>
  <c r="N169" i="1"/>
  <c r="M169" i="1"/>
  <c r="S168" i="1"/>
  <c r="R168" i="1"/>
  <c r="Q168" i="1"/>
  <c r="P168" i="1"/>
  <c r="O168" i="1"/>
  <c r="N168" i="1"/>
  <c r="M168" i="1"/>
  <c r="S167" i="1"/>
  <c r="R167" i="1"/>
  <c r="Q167" i="1"/>
  <c r="P167" i="1"/>
  <c r="O167" i="1"/>
  <c r="N167" i="1"/>
  <c r="M167" i="1"/>
  <c r="S166" i="1"/>
  <c r="R166" i="1"/>
  <c r="Q166" i="1"/>
  <c r="P166" i="1"/>
  <c r="O166" i="1"/>
  <c r="N166" i="1"/>
  <c r="M166" i="1"/>
  <c r="S165" i="1"/>
  <c r="R165" i="1"/>
  <c r="Q165" i="1"/>
  <c r="P165" i="1"/>
  <c r="O165" i="1"/>
  <c r="N165" i="1"/>
  <c r="M165" i="1"/>
  <c r="S164" i="1"/>
  <c r="R164" i="1"/>
  <c r="Q164" i="1"/>
  <c r="P164" i="1"/>
  <c r="O164" i="1"/>
  <c r="N164" i="1"/>
  <c r="M164" i="1"/>
  <c r="S163" i="1"/>
  <c r="R163" i="1"/>
  <c r="Q163" i="1"/>
  <c r="P163" i="1"/>
  <c r="O163" i="1"/>
  <c r="N163" i="1"/>
  <c r="M163" i="1"/>
  <c r="S162" i="1"/>
  <c r="R162" i="1"/>
  <c r="Q162" i="1"/>
  <c r="P162" i="1"/>
  <c r="O162" i="1"/>
  <c r="N162" i="1"/>
  <c r="M162" i="1"/>
  <c r="S161" i="1"/>
  <c r="R161" i="1"/>
  <c r="Q161" i="1"/>
  <c r="P161" i="1"/>
  <c r="O161" i="1"/>
  <c r="N161" i="1"/>
  <c r="M161" i="1"/>
  <c r="S160" i="1"/>
  <c r="R160" i="1"/>
  <c r="Q160" i="1"/>
  <c r="P160" i="1"/>
  <c r="O160" i="1"/>
  <c r="N160" i="1"/>
  <c r="M160" i="1"/>
  <c r="S159" i="1"/>
  <c r="R159" i="1"/>
  <c r="Q159" i="1"/>
  <c r="P159" i="1"/>
  <c r="O159" i="1"/>
  <c r="N159" i="1"/>
  <c r="M159" i="1"/>
  <c r="S158" i="1"/>
  <c r="R158" i="1"/>
  <c r="Q158" i="1"/>
  <c r="P158" i="1"/>
  <c r="O158" i="1"/>
  <c r="N158" i="1"/>
  <c r="M158" i="1"/>
  <c r="S157" i="1"/>
  <c r="R157" i="1"/>
  <c r="Q157" i="1"/>
  <c r="P157" i="1"/>
  <c r="O157" i="1"/>
  <c r="N157" i="1"/>
  <c r="M157" i="1"/>
  <c r="S156" i="1"/>
  <c r="R156" i="1"/>
  <c r="Q156" i="1"/>
  <c r="P156" i="1"/>
  <c r="O156" i="1"/>
  <c r="N156" i="1"/>
  <c r="M156" i="1"/>
  <c r="S155" i="1"/>
  <c r="R155" i="1"/>
  <c r="Q155" i="1"/>
  <c r="P155" i="1"/>
  <c r="O155" i="1"/>
  <c r="N155" i="1"/>
  <c r="M155" i="1"/>
  <c r="S154" i="1"/>
  <c r="R154" i="1"/>
  <c r="Q154" i="1"/>
  <c r="P154" i="1"/>
  <c r="O154" i="1"/>
  <c r="N154" i="1"/>
  <c r="M154" i="1"/>
  <c r="S153" i="1"/>
  <c r="R153" i="1"/>
  <c r="Q153" i="1"/>
  <c r="P153" i="1"/>
  <c r="O153" i="1"/>
  <c r="N153" i="1"/>
  <c r="M153" i="1"/>
  <c r="S152" i="1"/>
  <c r="R152" i="1"/>
  <c r="Q152" i="1"/>
  <c r="P152" i="1"/>
  <c r="O152" i="1"/>
  <c r="N152" i="1"/>
  <c r="M152" i="1"/>
  <c r="S151" i="1"/>
  <c r="R151" i="1"/>
  <c r="Q151" i="1"/>
  <c r="P151" i="1"/>
  <c r="O151" i="1"/>
  <c r="N151" i="1"/>
  <c r="M151" i="1"/>
  <c r="S150" i="1"/>
  <c r="R150" i="1"/>
  <c r="Q150" i="1"/>
  <c r="P150" i="1"/>
  <c r="O150" i="1"/>
  <c r="N150" i="1"/>
  <c r="M150" i="1"/>
  <c r="S149" i="1"/>
  <c r="R149" i="1"/>
  <c r="Q149" i="1"/>
  <c r="P149" i="1"/>
  <c r="O149" i="1"/>
  <c r="N149" i="1"/>
  <c r="M149" i="1"/>
  <c r="S148" i="1"/>
  <c r="R148" i="1"/>
  <c r="Q148" i="1"/>
  <c r="P148" i="1"/>
  <c r="O148" i="1"/>
  <c r="N148" i="1"/>
  <c r="M148" i="1"/>
  <c r="S147" i="1"/>
  <c r="R147" i="1"/>
  <c r="Q147" i="1"/>
  <c r="P147" i="1"/>
  <c r="O147" i="1"/>
  <c r="N147" i="1"/>
  <c r="M147" i="1"/>
  <c r="S146" i="1"/>
  <c r="R146" i="1"/>
  <c r="Q146" i="1"/>
  <c r="P146" i="1"/>
  <c r="O146" i="1"/>
  <c r="N146" i="1"/>
  <c r="M146" i="1"/>
  <c r="S145" i="1"/>
  <c r="R145" i="1"/>
  <c r="Q145" i="1"/>
  <c r="P145" i="1"/>
  <c r="O145" i="1"/>
  <c r="N145" i="1"/>
  <c r="M145" i="1"/>
  <c r="S144" i="1"/>
  <c r="R144" i="1"/>
  <c r="Q144" i="1"/>
  <c r="P144" i="1"/>
  <c r="O144" i="1"/>
  <c r="N144" i="1"/>
  <c r="M144" i="1"/>
  <c r="S143" i="1"/>
  <c r="R143" i="1"/>
  <c r="Q143" i="1"/>
  <c r="P143" i="1"/>
  <c r="O143" i="1"/>
  <c r="N143" i="1"/>
  <c r="M143" i="1"/>
  <c r="S142" i="1"/>
  <c r="R142" i="1"/>
  <c r="Q142" i="1"/>
  <c r="P142" i="1"/>
  <c r="O142" i="1"/>
  <c r="N142" i="1"/>
  <c r="M142" i="1"/>
  <c r="S141" i="1"/>
  <c r="R141" i="1"/>
  <c r="Q141" i="1"/>
  <c r="P141" i="1"/>
  <c r="O141" i="1"/>
  <c r="N141" i="1"/>
  <c r="M141" i="1"/>
  <c r="S140" i="1"/>
  <c r="R140" i="1"/>
  <c r="Q140" i="1"/>
  <c r="P140" i="1"/>
  <c r="O140" i="1"/>
  <c r="N140" i="1"/>
  <c r="M140" i="1"/>
  <c r="S139" i="1"/>
  <c r="R139" i="1"/>
  <c r="Q139" i="1"/>
  <c r="P139" i="1"/>
  <c r="O139" i="1"/>
  <c r="N139" i="1"/>
  <c r="M139" i="1"/>
  <c r="S138" i="1"/>
  <c r="R138" i="1"/>
  <c r="Q138" i="1"/>
  <c r="P138" i="1"/>
  <c r="O138" i="1"/>
  <c r="N138" i="1"/>
  <c r="M138" i="1"/>
  <c r="S137" i="1"/>
  <c r="R137" i="1"/>
  <c r="Q137" i="1"/>
  <c r="P137" i="1"/>
  <c r="O137" i="1"/>
  <c r="N137" i="1"/>
  <c r="M137" i="1"/>
  <c r="S136" i="1"/>
  <c r="R136" i="1"/>
  <c r="Q136" i="1"/>
  <c r="P136" i="1"/>
  <c r="O136" i="1"/>
  <c r="N136" i="1"/>
  <c r="M136" i="1"/>
  <c r="S135" i="1"/>
  <c r="R135" i="1"/>
  <c r="Q135" i="1"/>
  <c r="P135" i="1"/>
  <c r="O135" i="1"/>
  <c r="N135" i="1"/>
  <c r="M135" i="1"/>
  <c r="S134" i="1"/>
  <c r="R134" i="1"/>
  <c r="Q134" i="1"/>
  <c r="P134" i="1"/>
  <c r="O134" i="1"/>
  <c r="N134" i="1"/>
  <c r="M134" i="1"/>
  <c r="S133" i="1"/>
  <c r="R133" i="1"/>
  <c r="Q133" i="1"/>
  <c r="P133" i="1"/>
  <c r="O133" i="1"/>
  <c r="N133" i="1"/>
  <c r="M133" i="1"/>
  <c r="S132" i="1"/>
  <c r="R132" i="1"/>
  <c r="Q132" i="1"/>
  <c r="P132" i="1"/>
  <c r="O132" i="1"/>
  <c r="N132" i="1"/>
  <c r="M132" i="1"/>
  <c r="S131" i="1"/>
  <c r="R131" i="1"/>
  <c r="Q131" i="1"/>
  <c r="P131" i="1"/>
  <c r="O131" i="1"/>
  <c r="N131" i="1"/>
  <c r="M131" i="1"/>
  <c r="S130" i="1"/>
  <c r="R130" i="1"/>
  <c r="Q130" i="1"/>
  <c r="P130" i="1"/>
  <c r="O130" i="1"/>
  <c r="N130" i="1"/>
  <c r="M130" i="1"/>
  <c r="S129" i="1"/>
  <c r="R129" i="1"/>
  <c r="Q129" i="1"/>
  <c r="P129" i="1"/>
  <c r="O129" i="1"/>
  <c r="N129" i="1"/>
  <c r="M129" i="1"/>
  <c r="S128" i="1"/>
  <c r="R128" i="1"/>
  <c r="Q128" i="1"/>
  <c r="P128" i="1"/>
  <c r="O128" i="1"/>
  <c r="N128" i="1"/>
  <c r="M128" i="1"/>
  <c r="S127" i="1"/>
  <c r="R127" i="1"/>
  <c r="Q127" i="1"/>
  <c r="P127" i="1"/>
  <c r="O127" i="1"/>
  <c r="N127" i="1"/>
  <c r="M127" i="1"/>
  <c r="S126" i="1"/>
  <c r="R126" i="1"/>
  <c r="Q126" i="1"/>
  <c r="P126" i="1"/>
  <c r="O126" i="1"/>
  <c r="N126" i="1"/>
  <c r="M126" i="1"/>
  <c r="S125" i="1"/>
  <c r="R125" i="1"/>
  <c r="Q125" i="1"/>
  <c r="P125" i="1"/>
  <c r="O125" i="1"/>
  <c r="N125" i="1"/>
  <c r="M125" i="1"/>
  <c r="S124" i="1"/>
  <c r="R124" i="1"/>
  <c r="Q124" i="1"/>
  <c r="P124" i="1"/>
  <c r="O124" i="1"/>
  <c r="N124" i="1"/>
  <c r="M124" i="1"/>
  <c r="S123" i="1"/>
  <c r="R123" i="1"/>
  <c r="Q123" i="1"/>
  <c r="P123" i="1"/>
  <c r="O123" i="1"/>
  <c r="N123" i="1"/>
  <c r="M123" i="1"/>
  <c r="S122" i="1"/>
  <c r="R122" i="1"/>
  <c r="Q122" i="1"/>
  <c r="P122" i="1"/>
  <c r="O122" i="1"/>
  <c r="N122" i="1"/>
  <c r="M122" i="1"/>
  <c r="S121" i="1"/>
  <c r="R121" i="1"/>
  <c r="Q121" i="1"/>
  <c r="P121" i="1"/>
  <c r="O121" i="1"/>
  <c r="N121" i="1"/>
  <c r="M121" i="1"/>
  <c r="S120" i="1"/>
  <c r="R120" i="1"/>
  <c r="Q120" i="1"/>
  <c r="P120" i="1"/>
  <c r="O120" i="1"/>
  <c r="N120" i="1"/>
  <c r="M120" i="1"/>
  <c r="S119" i="1"/>
  <c r="R119" i="1"/>
  <c r="Q119" i="1"/>
  <c r="P119" i="1"/>
  <c r="O119" i="1"/>
  <c r="N119" i="1"/>
  <c r="M119" i="1"/>
  <c r="S118" i="1"/>
  <c r="R118" i="1"/>
  <c r="Q118" i="1"/>
  <c r="P118" i="1"/>
  <c r="O118" i="1"/>
  <c r="N118" i="1"/>
  <c r="M118" i="1"/>
  <c r="S117" i="1"/>
  <c r="R117" i="1"/>
  <c r="Q117" i="1"/>
  <c r="P117" i="1"/>
  <c r="O117" i="1"/>
  <c r="N117" i="1"/>
  <c r="M117" i="1"/>
  <c r="S116" i="1"/>
  <c r="R116" i="1"/>
  <c r="Q116" i="1"/>
  <c r="P116" i="1"/>
  <c r="O116" i="1"/>
  <c r="N116" i="1"/>
  <c r="M116" i="1"/>
  <c r="S115" i="1"/>
  <c r="R115" i="1"/>
  <c r="Q115" i="1"/>
  <c r="P115" i="1"/>
  <c r="O115" i="1"/>
  <c r="N115" i="1"/>
  <c r="M115" i="1"/>
  <c r="S114" i="1"/>
  <c r="R114" i="1"/>
  <c r="Q114" i="1"/>
  <c r="P114" i="1"/>
  <c r="O114" i="1"/>
  <c r="N114" i="1"/>
  <c r="M114" i="1"/>
  <c r="S113" i="1"/>
  <c r="R113" i="1"/>
  <c r="Q113" i="1"/>
  <c r="P113" i="1"/>
  <c r="O113" i="1"/>
  <c r="N113" i="1"/>
  <c r="M113" i="1"/>
  <c r="S112" i="1"/>
  <c r="R112" i="1"/>
  <c r="Q112" i="1"/>
  <c r="P112" i="1"/>
  <c r="O112" i="1"/>
  <c r="N112" i="1"/>
  <c r="M112" i="1"/>
  <c r="S111" i="1"/>
  <c r="R111" i="1"/>
  <c r="Q111" i="1"/>
  <c r="P111" i="1"/>
  <c r="O111" i="1"/>
  <c r="N111" i="1"/>
  <c r="M111" i="1"/>
  <c r="S110" i="1"/>
  <c r="R110" i="1"/>
  <c r="Q110" i="1"/>
  <c r="P110" i="1"/>
  <c r="O110" i="1"/>
  <c r="N110" i="1"/>
  <c r="M110" i="1"/>
  <c r="S109" i="1"/>
  <c r="R109" i="1"/>
  <c r="Q109" i="1"/>
  <c r="P109" i="1"/>
  <c r="O109" i="1"/>
  <c r="N109" i="1"/>
  <c r="M109" i="1"/>
  <c r="S108" i="1"/>
  <c r="R108" i="1"/>
  <c r="Q108" i="1"/>
  <c r="P108" i="1"/>
  <c r="O108" i="1"/>
  <c r="N108" i="1"/>
  <c r="M108" i="1"/>
  <c r="S107" i="1"/>
  <c r="R107" i="1"/>
  <c r="Q107" i="1"/>
  <c r="P107" i="1"/>
  <c r="O107" i="1"/>
  <c r="N107" i="1"/>
  <c r="M107" i="1"/>
  <c r="S106" i="1"/>
  <c r="R106" i="1"/>
  <c r="Q106" i="1"/>
  <c r="P106" i="1"/>
  <c r="O106" i="1"/>
  <c r="N106" i="1"/>
  <c r="M106" i="1"/>
  <c r="S105" i="1"/>
  <c r="R105" i="1"/>
  <c r="Q105" i="1"/>
  <c r="P105" i="1"/>
  <c r="O105" i="1"/>
  <c r="N105" i="1"/>
  <c r="M105" i="1"/>
  <c r="S104" i="1"/>
  <c r="R104" i="1"/>
  <c r="Q104" i="1"/>
  <c r="P104" i="1"/>
  <c r="O104" i="1"/>
  <c r="N104" i="1"/>
  <c r="M104" i="1"/>
  <c r="S103" i="1"/>
  <c r="R103" i="1"/>
  <c r="Q103" i="1"/>
  <c r="P103" i="1"/>
  <c r="O103" i="1"/>
  <c r="N103" i="1"/>
  <c r="M103" i="1"/>
  <c r="S102" i="1"/>
  <c r="R102" i="1"/>
  <c r="Q102" i="1"/>
  <c r="P102" i="1"/>
  <c r="O102" i="1"/>
  <c r="N102" i="1"/>
  <c r="M102" i="1"/>
  <c r="S101" i="1"/>
  <c r="R101" i="1"/>
  <c r="Q101" i="1"/>
  <c r="P101" i="1"/>
  <c r="O101" i="1"/>
  <c r="N101" i="1"/>
  <c r="M101" i="1"/>
  <c r="S100" i="1"/>
  <c r="R100" i="1"/>
  <c r="Q100" i="1"/>
  <c r="P100" i="1"/>
  <c r="O100" i="1"/>
  <c r="N100" i="1"/>
  <c r="M100" i="1"/>
  <c r="S99" i="1"/>
  <c r="R99" i="1"/>
  <c r="Q99" i="1"/>
  <c r="P99" i="1"/>
  <c r="O99" i="1"/>
  <c r="N99" i="1"/>
  <c r="M99" i="1"/>
  <c r="S98" i="1"/>
  <c r="R98" i="1"/>
  <c r="Q98" i="1"/>
  <c r="P98" i="1"/>
  <c r="O98" i="1"/>
  <c r="N98" i="1"/>
  <c r="M98" i="1"/>
  <c r="S97" i="1"/>
  <c r="R97" i="1"/>
  <c r="Q97" i="1"/>
  <c r="P97" i="1"/>
  <c r="O97" i="1"/>
  <c r="N97" i="1"/>
  <c r="M97" i="1"/>
  <c r="S96" i="1"/>
  <c r="R96" i="1"/>
  <c r="Q96" i="1"/>
  <c r="P96" i="1"/>
  <c r="O96" i="1"/>
  <c r="N96" i="1"/>
  <c r="M96" i="1"/>
  <c r="S95" i="1"/>
  <c r="R95" i="1"/>
  <c r="Q95" i="1"/>
  <c r="P95" i="1"/>
  <c r="O95" i="1"/>
  <c r="N95" i="1"/>
  <c r="M95" i="1"/>
  <c r="S94" i="1"/>
  <c r="R94" i="1"/>
  <c r="Q94" i="1"/>
  <c r="P94" i="1"/>
  <c r="O94" i="1"/>
  <c r="N94" i="1"/>
  <c r="M94" i="1"/>
  <c r="S93" i="1"/>
  <c r="R93" i="1"/>
  <c r="Q93" i="1"/>
  <c r="P93" i="1"/>
  <c r="O93" i="1"/>
  <c r="N93" i="1"/>
  <c r="M93" i="1"/>
  <c r="S92" i="1"/>
  <c r="R92" i="1"/>
  <c r="Q92" i="1"/>
  <c r="P92" i="1"/>
  <c r="O92" i="1"/>
  <c r="N92" i="1"/>
  <c r="M92" i="1"/>
  <c r="S91" i="1"/>
  <c r="R91" i="1"/>
  <c r="Q91" i="1"/>
  <c r="P91" i="1"/>
  <c r="O91" i="1"/>
  <c r="N91" i="1"/>
  <c r="M91" i="1"/>
  <c r="S90" i="1"/>
  <c r="R90" i="1"/>
  <c r="Q90" i="1"/>
  <c r="P90" i="1"/>
  <c r="O90" i="1"/>
  <c r="N90" i="1"/>
  <c r="M90" i="1"/>
  <c r="S89" i="1"/>
  <c r="R89" i="1"/>
  <c r="Q89" i="1"/>
  <c r="P89" i="1"/>
  <c r="O89" i="1"/>
  <c r="N89" i="1"/>
  <c r="M89" i="1"/>
  <c r="S88" i="1"/>
  <c r="R88" i="1"/>
  <c r="Q88" i="1"/>
  <c r="P88" i="1"/>
  <c r="O88" i="1"/>
  <c r="N88" i="1"/>
  <c r="M88" i="1"/>
  <c r="S87" i="1"/>
  <c r="R87" i="1"/>
  <c r="Q87" i="1"/>
  <c r="P87" i="1"/>
  <c r="O87" i="1"/>
  <c r="N87" i="1"/>
  <c r="M87" i="1"/>
  <c r="S86" i="1"/>
  <c r="R86" i="1"/>
  <c r="Q86" i="1"/>
  <c r="P86" i="1"/>
  <c r="O86" i="1"/>
  <c r="N86" i="1"/>
  <c r="M86" i="1"/>
  <c r="S85" i="1"/>
  <c r="R85" i="1"/>
  <c r="Q85" i="1"/>
  <c r="P85" i="1"/>
  <c r="O85" i="1"/>
  <c r="N85" i="1"/>
  <c r="M85" i="1"/>
  <c r="S84" i="1"/>
  <c r="R84" i="1"/>
  <c r="Q84" i="1"/>
  <c r="P84" i="1"/>
  <c r="O84" i="1"/>
  <c r="N84" i="1"/>
  <c r="M84" i="1"/>
  <c r="S83" i="1"/>
  <c r="R83" i="1"/>
  <c r="Q83" i="1"/>
  <c r="P83" i="1"/>
  <c r="O83" i="1"/>
  <c r="N83" i="1"/>
  <c r="M83" i="1"/>
  <c r="S82" i="1"/>
  <c r="R82" i="1"/>
  <c r="Q82" i="1"/>
  <c r="P82" i="1"/>
  <c r="O82" i="1"/>
  <c r="N82" i="1"/>
  <c r="M82" i="1"/>
  <c r="S81" i="1"/>
  <c r="R81" i="1"/>
  <c r="Q81" i="1"/>
  <c r="P81" i="1"/>
  <c r="O81" i="1"/>
  <c r="N81" i="1"/>
  <c r="M81" i="1"/>
  <c r="S80" i="1"/>
  <c r="R80" i="1"/>
  <c r="Q80" i="1"/>
  <c r="P80" i="1"/>
  <c r="O80" i="1"/>
  <c r="N80" i="1"/>
  <c r="M80" i="1"/>
  <c r="S79" i="1"/>
  <c r="R79" i="1"/>
  <c r="Q79" i="1"/>
  <c r="P79" i="1"/>
  <c r="O79" i="1"/>
  <c r="N79" i="1"/>
  <c r="M79" i="1"/>
  <c r="S78" i="1"/>
  <c r="R78" i="1"/>
  <c r="Q78" i="1"/>
  <c r="P78" i="1"/>
  <c r="O78" i="1"/>
  <c r="N78" i="1"/>
  <c r="M78" i="1"/>
  <c r="S77" i="1"/>
  <c r="R77" i="1"/>
  <c r="Q77" i="1"/>
  <c r="P77" i="1"/>
  <c r="O77" i="1"/>
  <c r="N77" i="1"/>
  <c r="M77" i="1"/>
  <c r="S76" i="1"/>
  <c r="R76" i="1"/>
  <c r="Q76" i="1"/>
  <c r="P76" i="1"/>
  <c r="O76" i="1"/>
  <c r="N76" i="1"/>
  <c r="M76" i="1"/>
  <c r="S75" i="1"/>
  <c r="R75" i="1"/>
  <c r="Q75" i="1"/>
  <c r="P75" i="1"/>
  <c r="O75" i="1"/>
  <c r="N75" i="1"/>
  <c r="M75" i="1"/>
  <c r="S74" i="1"/>
  <c r="R74" i="1"/>
  <c r="Q74" i="1"/>
  <c r="P74" i="1"/>
  <c r="O74" i="1"/>
  <c r="N74" i="1"/>
  <c r="M74" i="1"/>
  <c r="S73" i="1"/>
  <c r="R73" i="1"/>
  <c r="Q73" i="1"/>
  <c r="P73" i="1"/>
  <c r="O73" i="1"/>
  <c r="N73" i="1"/>
  <c r="M73" i="1"/>
  <c r="S72" i="1"/>
  <c r="R72" i="1"/>
  <c r="Q72" i="1"/>
  <c r="P72" i="1"/>
  <c r="O72" i="1"/>
  <c r="N72" i="1"/>
  <c r="M72" i="1"/>
  <c r="S71" i="1"/>
  <c r="R71" i="1"/>
  <c r="Q71" i="1"/>
  <c r="P71" i="1"/>
  <c r="O71" i="1"/>
  <c r="N71" i="1"/>
  <c r="M71" i="1"/>
  <c r="S70" i="1"/>
  <c r="R70" i="1"/>
  <c r="Q70" i="1"/>
  <c r="P70" i="1"/>
  <c r="O70" i="1"/>
  <c r="N70" i="1"/>
  <c r="M70" i="1"/>
  <c r="S69" i="1"/>
  <c r="R69" i="1"/>
  <c r="Q69" i="1"/>
  <c r="P69" i="1"/>
  <c r="O69" i="1"/>
  <c r="N69" i="1"/>
  <c r="M69" i="1"/>
  <c r="S68" i="1"/>
  <c r="R68" i="1"/>
  <c r="Q68" i="1"/>
  <c r="P68" i="1"/>
  <c r="O68" i="1"/>
  <c r="N68" i="1"/>
  <c r="M68" i="1"/>
  <c r="S67" i="1"/>
  <c r="R67" i="1"/>
  <c r="Q67" i="1"/>
  <c r="P67" i="1"/>
  <c r="O67" i="1"/>
  <c r="N67" i="1"/>
  <c r="M67" i="1"/>
  <c r="S66" i="1"/>
  <c r="R66" i="1"/>
  <c r="Q66" i="1"/>
  <c r="P66" i="1"/>
  <c r="O66" i="1"/>
  <c r="N66" i="1"/>
  <c r="M66" i="1"/>
  <c r="S65" i="1"/>
  <c r="R65" i="1"/>
  <c r="Q65" i="1"/>
  <c r="P65" i="1"/>
  <c r="O65" i="1"/>
  <c r="N65" i="1"/>
  <c r="M65" i="1"/>
  <c r="S64" i="1"/>
  <c r="R64" i="1"/>
  <c r="Q64" i="1"/>
  <c r="P64" i="1"/>
  <c r="O64" i="1"/>
  <c r="N64" i="1"/>
  <c r="M64" i="1"/>
  <c r="S63" i="1"/>
  <c r="R63" i="1"/>
  <c r="Q63" i="1"/>
  <c r="P63" i="1"/>
  <c r="O63" i="1"/>
  <c r="N63" i="1"/>
  <c r="M63" i="1"/>
  <c r="S62" i="1"/>
  <c r="R62" i="1"/>
  <c r="Q62" i="1"/>
  <c r="P62" i="1"/>
  <c r="O62" i="1"/>
  <c r="N62" i="1"/>
  <c r="M62" i="1"/>
  <c r="S61" i="1"/>
  <c r="R61" i="1"/>
  <c r="Q61" i="1"/>
  <c r="P61" i="1"/>
  <c r="O61" i="1"/>
  <c r="N61" i="1"/>
  <c r="M61" i="1"/>
  <c r="S60" i="1"/>
  <c r="R60" i="1"/>
  <c r="Q60" i="1"/>
  <c r="P60" i="1"/>
  <c r="O60" i="1"/>
  <c r="N60" i="1"/>
  <c r="M60" i="1"/>
  <c r="S59" i="1"/>
  <c r="R59" i="1"/>
  <c r="Q59" i="1"/>
  <c r="P59" i="1"/>
  <c r="O59" i="1"/>
  <c r="N59" i="1"/>
  <c r="M59" i="1"/>
  <c r="S58" i="1"/>
  <c r="R58" i="1"/>
  <c r="Q58" i="1"/>
  <c r="P58" i="1"/>
  <c r="O58" i="1"/>
  <c r="N58" i="1"/>
  <c r="M58" i="1"/>
  <c r="S57" i="1"/>
  <c r="R57" i="1"/>
  <c r="Q57" i="1"/>
  <c r="P57" i="1"/>
  <c r="O57" i="1"/>
  <c r="N57" i="1"/>
  <c r="M57" i="1"/>
  <c r="S56" i="1"/>
  <c r="R56" i="1"/>
  <c r="Q56" i="1"/>
  <c r="P56" i="1"/>
  <c r="O56" i="1"/>
  <c r="N56" i="1"/>
  <c r="M56" i="1"/>
  <c r="S55" i="1"/>
  <c r="R55" i="1"/>
  <c r="Q55" i="1"/>
  <c r="P55" i="1"/>
  <c r="O55" i="1"/>
  <c r="N55" i="1"/>
  <c r="M55" i="1"/>
  <c r="S54" i="1"/>
  <c r="R54" i="1"/>
  <c r="Q54" i="1"/>
  <c r="P54" i="1"/>
  <c r="O54" i="1"/>
  <c r="N54" i="1"/>
  <c r="M54" i="1"/>
  <c r="S53" i="1"/>
  <c r="R53" i="1"/>
  <c r="Q53" i="1"/>
  <c r="P53" i="1"/>
  <c r="O53" i="1"/>
  <c r="N53" i="1"/>
  <c r="M53" i="1"/>
  <c r="S52" i="1"/>
  <c r="R52" i="1"/>
  <c r="Q52" i="1"/>
  <c r="P52" i="1"/>
  <c r="O52" i="1"/>
  <c r="N52" i="1"/>
  <c r="M52" i="1"/>
  <c r="S51" i="1"/>
  <c r="R51" i="1"/>
  <c r="Q51" i="1"/>
  <c r="P51" i="1"/>
  <c r="O51" i="1"/>
  <c r="N51" i="1"/>
  <c r="M51" i="1"/>
  <c r="S50" i="1"/>
  <c r="R50" i="1"/>
  <c r="Q50" i="1"/>
  <c r="P50" i="1"/>
  <c r="O50" i="1"/>
  <c r="N50" i="1"/>
  <c r="M50" i="1"/>
  <c r="S49" i="1"/>
  <c r="R49" i="1"/>
  <c r="Q49" i="1"/>
  <c r="P49" i="1"/>
  <c r="O49" i="1"/>
  <c r="N49" i="1"/>
  <c r="M49" i="1"/>
  <c r="S48" i="1"/>
  <c r="R48" i="1"/>
  <c r="Q48" i="1"/>
  <c r="P48" i="1"/>
  <c r="O48" i="1"/>
  <c r="N48" i="1"/>
  <c r="M48" i="1"/>
  <c r="S47" i="1"/>
  <c r="R47" i="1"/>
  <c r="Q47" i="1"/>
  <c r="P47" i="1"/>
  <c r="O47" i="1"/>
  <c r="N47" i="1"/>
  <c r="M47" i="1"/>
  <c r="S46" i="1"/>
  <c r="R46" i="1"/>
  <c r="Q46" i="1"/>
  <c r="P46" i="1"/>
  <c r="O46" i="1"/>
  <c r="N46" i="1"/>
  <c r="M46" i="1"/>
  <c r="S45" i="1"/>
  <c r="R45" i="1"/>
  <c r="Q45" i="1"/>
  <c r="P45" i="1"/>
  <c r="O45" i="1"/>
  <c r="N45" i="1"/>
  <c r="M45" i="1"/>
  <c r="S44" i="1"/>
  <c r="R44" i="1"/>
  <c r="Q44" i="1"/>
  <c r="P44" i="1"/>
  <c r="O44" i="1"/>
  <c r="N44" i="1"/>
  <c r="M44" i="1"/>
  <c r="S43" i="1"/>
  <c r="R43" i="1"/>
  <c r="Q43" i="1"/>
  <c r="P43" i="1"/>
  <c r="O43" i="1"/>
  <c r="N43" i="1"/>
  <c r="M43" i="1"/>
  <c r="S42" i="1"/>
  <c r="R42" i="1"/>
  <c r="Q42" i="1"/>
  <c r="P42" i="1"/>
  <c r="O42" i="1"/>
  <c r="N42" i="1"/>
  <c r="M42" i="1"/>
  <c r="S41" i="1"/>
  <c r="R41" i="1"/>
  <c r="Q41" i="1"/>
  <c r="P41" i="1"/>
  <c r="O41" i="1"/>
  <c r="N41" i="1"/>
  <c r="M41" i="1"/>
  <c r="S40" i="1"/>
  <c r="R40" i="1"/>
  <c r="Q40" i="1"/>
  <c r="P40" i="1"/>
  <c r="O40" i="1"/>
  <c r="N40" i="1"/>
  <c r="M40" i="1"/>
  <c r="S39" i="1"/>
  <c r="R39" i="1"/>
  <c r="Q39" i="1"/>
  <c r="P39" i="1"/>
  <c r="O39" i="1"/>
  <c r="N39" i="1"/>
  <c r="M39" i="1"/>
  <c r="S38" i="1"/>
  <c r="R38" i="1"/>
  <c r="Q38" i="1"/>
  <c r="P38" i="1"/>
  <c r="O38" i="1"/>
  <c r="N38" i="1"/>
  <c r="M38" i="1"/>
  <c r="S37" i="1"/>
  <c r="R37" i="1"/>
  <c r="Q37" i="1"/>
  <c r="P37" i="1"/>
  <c r="O37" i="1"/>
  <c r="N37" i="1"/>
  <c r="M37" i="1"/>
  <c r="S36" i="1"/>
  <c r="R36" i="1"/>
  <c r="Q36" i="1"/>
  <c r="P36" i="1"/>
  <c r="O36" i="1"/>
  <c r="N36" i="1"/>
  <c r="M36" i="1"/>
  <c r="S35" i="1"/>
  <c r="R35" i="1"/>
  <c r="Q35" i="1"/>
  <c r="P35" i="1"/>
  <c r="O35" i="1"/>
  <c r="N35" i="1"/>
  <c r="M35" i="1"/>
  <c r="S34" i="1"/>
  <c r="R34" i="1"/>
  <c r="Q34" i="1"/>
  <c r="P34" i="1"/>
  <c r="O34" i="1"/>
  <c r="N34" i="1"/>
  <c r="M34" i="1"/>
  <c r="S33" i="1"/>
  <c r="R33" i="1"/>
  <c r="Q33" i="1"/>
  <c r="P33" i="1"/>
  <c r="O33" i="1"/>
  <c r="N33" i="1"/>
  <c r="M33" i="1"/>
  <c r="S32" i="1"/>
  <c r="R32" i="1"/>
  <c r="Q32" i="1"/>
  <c r="P32" i="1"/>
  <c r="O32" i="1"/>
  <c r="N32" i="1"/>
  <c r="M32" i="1"/>
  <c r="S31" i="1"/>
  <c r="R31" i="1"/>
  <c r="Q31" i="1"/>
  <c r="P31" i="1"/>
  <c r="O31" i="1"/>
  <c r="N31" i="1"/>
  <c r="M31" i="1"/>
  <c r="S30" i="1"/>
  <c r="R30" i="1"/>
  <c r="Q30" i="1"/>
  <c r="P30" i="1"/>
  <c r="O30" i="1"/>
  <c r="N30" i="1"/>
  <c r="M30" i="1"/>
  <c r="S29" i="1"/>
  <c r="R29" i="1"/>
  <c r="Q29" i="1"/>
  <c r="P29" i="1"/>
  <c r="O29" i="1"/>
  <c r="N29" i="1"/>
  <c r="M29" i="1"/>
  <c r="S28" i="1"/>
  <c r="R28" i="1"/>
  <c r="Q28" i="1"/>
  <c r="P28" i="1"/>
  <c r="O28" i="1"/>
  <c r="N28" i="1"/>
  <c r="M28" i="1"/>
  <c r="S27" i="1"/>
  <c r="R27" i="1"/>
  <c r="Q27" i="1"/>
  <c r="P27" i="1"/>
  <c r="O27" i="1"/>
  <c r="N27" i="1"/>
  <c r="M27" i="1"/>
  <c r="S26" i="1"/>
  <c r="R26" i="1"/>
  <c r="Q26" i="1"/>
  <c r="P26" i="1"/>
  <c r="O26" i="1"/>
  <c r="N26" i="1"/>
  <c r="M26" i="1"/>
  <c r="S25" i="1"/>
  <c r="R25" i="1"/>
  <c r="Q25" i="1"/>
  <c r="P25" i="1"/>
  <c r="O25" i="1"/>
  <c r="N25" i="1"/>
  <c r="M25" i="1"/>
  <c r="S24" i="1"/>
  <c r="R24" i="1"/>
  <c r="Q24" i="1"/>
  <c r="P24" i="1"/>
  <c r="O24" i="1"/>
  <c r="N24" i="1"/>
  <c r="M24" i="1"/>
  <c r="S23" i="1"/>
  <c r="R23" i="1"/>
  <c r="Q23" i="1"/>
  <c r="P23" i="1"/>
  <c r="O23" i="1"/>
  <c r="N23" i="1"/>
  <c r="M23" i="1"/>
  <c r="S22" i="1"/>
  <c r="R22" i="1"/>
  <c r="Q22" i="1"/>
  <c r="P22" i="1"/>
  <c r="O22" i="1"/>
  <c r="N22" i="1"/>
  <c r="M22" i="1"/>
  <c r="S21" i="1"/>
  <c r="R21" i="1"/>
  <c r="Q21" i="1"/>
  <c r="P21" i="1"/>
  <c r="O21" i="1"/>
  <c r="N21" i="1"/>
  <c r="M21" i="1"/>
  <c r="S20" i="1"/>
  <c r="R20" i="1"/>
  <c r="Q20" i="1"/>
  <c r="P20" i="1"/>
  <c r="O20" i="1"/>
  <c r="N20" i="1"/>
  <c r="M20" i="1"/>
  <c r="S19" i="1"/>
  <c r="R19" i="1"/>
  <c r="Q19" i="1"/>
  <c r="P19" i="1"/>
  <c r="O19" i="1"/>
  <c r="N19" i="1"/>
  <c r="M19" i="1"/>
  <c r="S18" i="1"/>
  <c r="R18" i="1"/>
  <c r="Q18" i="1"/>
  <c r="P18" i="1"/>
  <c r="O18" i="1"/>
  <c r="N18" i="1"/>
  <c r="M18" i="1"/>
  <c r="S17" i="1"/>
  <c r="R17" i="1"/>
  <c r="Q17" i="1"/>
  <c r="P17" i="1"/>
  <c r="O17" i="1"/>
  <c r="N17" i="1"/>
  <c r="M17" i="1"/>
  <c r="S16" i="1"/>
  <c r="R16" i="1"/>
  <c r="Q16" i="1"/>
  <c r="P16" i="1"/>
  <c r="O16" i="1"/>
  <c r="N16" i="1"/>
  <c r="M16" i="1"/>
  <c r="S15" i="1"/>
  <c r="R15" i="1"/>
  <c r="Q15" i="1"/>
  <c r="P15" i="1"/>
  <c r="O15" i="1"/>
  <c r="N15" i="1"/>
  <c r="M15" i="1"/>
  <c r="S14" i="1"/>
  <c r="R14" i="1"/>
  <c r="Q14" i="1"/>
  <c r="P14" i="1"/>
  <c r="O14" i="1"/>
  <c r="N14" i="1"/>
  <c r="M14" i="1"/>
  <c r="S13" i="1"/>
  <c r="R13" i="1"/>
  <c r="Q13" i="1"/>
  <c r="P13" i="1"/>
  <c r="O13" i="1"/>
  <c r="N13" i="1"/>
  <c r="M13" i="1"/>
  <c r="S12" i="1"/>
  <c r="R12" i="1"/>
  <c r="Q12" i="1"/>
  <c r="P12" i="1"/>
  <c r="O12" i="1"/>
  <c r="N12" i="1"/>
  <c r="M12" i="1"/>
  <c r="S11" i="1"/>
  <c r="R11" i="1"/>
  <c r="Q11" i="1"/>
  <c r="P11" i="1"/>
  <c r="O11" i="1"/>
  <c r="N11" i="1"/>
  <c r="M11" i="1"/>
  <c r="S10" i="1"/>
  <c r="R10" i="1"/>
  <c r="Q10" i="1"/>
  <c r="P10" i="1"/>
  <c r="O10" i="1"/>
  <c r="N10" i="1"/>
  <c r="M10" i="1"/>
  <c r="S9" i="1"/>
  <c r="R9" i="1"/>
  <c r="Q9" i="1"/>
  <c r="P9" i="1"/>
  <c r="O9" i="1"/>
  <c r="N9" i="1"/>
  <c r="M9" i="1"/>
  <c r="S8" i="1"/>
  <c r="R8" i="1"/>
  <c r="Q8" i="1"/>
  <c r="P8" i="1"/>
  <c r="O8" i="1"/>
  <c r="N8" i="1"/>
  <c r="M8" i="1"/>
  <c r="S7" i="1"/>
  <c r="R7" i="1"/>
  <c r="Q7" i="1"/>
  <c r="P7" i="1"/>
  <c r="O7" i="1"/>
  <c r="N7" i="1"/>
  <c r="M7" i="1"/>
  <c r="S6" i="1"/>
  <c r="R6" i="1"/>
  <c r="Q6" i="1"/>
  <c r="P6" i="1"/>
  <c r="O6" i="1"/>
  <c r="N6" i="1"/>
  <c r="M6" i="1"/>
  <c r="S5" i="1"/>
  <c r="R5" i="1"/>
  <c r="Q5" i="1"/>
  <c r="P5" i="1"/>
  <c r="O5" i="1"/>
  <c r="N5" i="1"/>
  <c r="M5" i="1"/>
  <c r="S4" i="1"/>
  <c r="R4" i="1"/>
  <c r="Q4" i="1"/>
  <c r="P4" i="1"/>
  <c r="O4" i="1"/>
  <c r="N4" i="1"/>
  <c r="M4" i="1"/>
  <c r="S3" i="1"/>
  <c r="R3" i="1"/>
  <c r="Q3" i="1"/>
  <c r="P3" i="1"/>
  <c r="O3" i="1"/>
  <c r="N3" i="1"/>
  <c r="M3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</calcChain>
</file>

<file path=xl/sharedStrings.xml><?xml version="1.0" encoding="utf-8"?>
<sst xmlns="http://schemas.openxmlformats.org/spreadsheetml/2006/main" count="675" uniqueCount="12">
  <si>
    <t>real</t>
  </si>
  <si>
    <t>LASSO</t>
  </si>
  <si>
    <t>Ridge</t>
  </si>
  <si>
    <t>ElNet</t>
  </si>
  <si>
    <t>RW</t>
  </si>
  <si>
    <t>RSM</t>
  </si>
  <si>
    <t>AR</t>
  </si>
  <si>
    <t>RF</t>
  </si>
  <si>
    <t>..</t>
  </si>
  <si>
    <t>Abs Errors</t>
  </si>
  <si>
    <t>square err</t>
  </si>
  <si>
    <t>rmse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</si>
</sst>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7" fontId="0" fillId="0" borderId="0" xfId="0" applyNumberFormat="1"/>
    <xf numFmtId="0" fontId="2" fillId="0" borderId="0" xfId="0" applyFo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84"/>
  <sheetViews>
    <sheetView tabSelected="1" workbookViewId="0">
      <pane xSplit="1" ySplit="2" topLeftCell="L3" activePane="bottomRight" state="frozen"/>
      <selection pane="topRight" activeCell="B1" sqref="B1"/>
      <selection pane="bottomLeft" activeCell="A2" sqref="A2"/>
      <selection pane="bottomRight" activeCell="AC3" sqref="AC3"/>
    </sheetView>
  </sheetViews>
  <sheetFormatPr defaultRowHeight="14.4" x14ac:dyDescent="0.3"/>
  <sheetData>
    <row r="1" spans="1:49" x14ac:dyDescent="0.3">
      <c r="K1" s="3" t="s">
        <v>9</v>
      </c>
      <c r="U1" s="3" t="s">
        <v>10</v>
      </c>
      <c r="AE1" s="3" t="s">
        <v>11</v>
      </c>
    </row>
    <row r="2" spans="1:49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  <c r="V2" s="1" t="s">
        <v>0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F2" s="1" t="s">
        <v>0</v>
      </c>
      <c r="AG2" s="1" t="s">
        <v>1</v>
      </c>
      <c r="AH2" s="1" t="s">
        <v>2</v>
      </c>
      <c r="AI2" s="1" t="s">
        <v>3</v>
      </c>
      <c r="AJ2" s="1" t="s">
        <v>4</v>
      </c>
      <c r="AK2" s="1" t="s">
        <v>5</v>
      </c>
      <c r="AL2" s="1" t="s">
        <v>6</v>
      </c>
      <c r="AM2" s="1" t="s">
        <v>7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  <c r="AV2" s="1" t="s">
        <v>6</v>
      </c>
      <c r="AW2" s="1" t="s">
        <v>7</v>
      </c>
    </row>
    <row r="3" spans="1:49" x14ac:dyDescent="0.3">
      <c r="A3" s="2">
        <v>36892</v>
      </c>
      <c r="B3">
        <v>0.57110377955149616</v>
      </c>
      <c r="C3">
        <v>0.18494060600480419</v>
      </c>
      <c r="D3">
        <v>0.26157420723981861</v>
      </c>
      <c r="E3">
        <v>0.1796841452572539</v>
      </c>
      <c r="F3">
        <v>0.2293578987099032</v>
      </c>
      <c r="G3">
        <v>0.36202497781292642</v>
      </c>
      <c r="H3">
        <v>0.21677933852271661</v>
      </c>
      <c r="I3">
        <v>0.27139505642723072</v>
      </c>
      <c r="K3" s="2">
        <v>36892</v>
      </c>
      <c r="L3" t="s">
        <v>8</v>
      </c>
      <c r="M3">
        <f>ABS(C3-$B3)</f>
        <v>0.38616317354669194</v>
      </c>
      <c r="N3">
        <f t="shared" ref="N3:N66" si="0">ABS(D3-$B3)</f>
        <v>0.30952957231167755</v>
      </c>
      <c r="O3">
        <f t="shared" ref="O3:O66" si="1">ABS(E3-$B3)</f>
        <v>0.39141963429424226</v>
      </c>
      <c r="P3">
        <f t="shared" ref="P3:P66" si="2">ABS(F3-$B3)</f>
        <v>0.34174588084159296</v>
      </c>
      <c r="Q3">
        <f t="shared" ref="Q3:Q66" si="3">ABS(G3-$B3)</f>
        <v>0.20907880173856974</v>
      </c>
      <c r="R3">
        <f t="shared" ref="R3:R66" si="4">ABS(H3-$B3)</f>
        <v>0.35432444102877958</v>
      </c>
      <c r="S3">
        <f t="shared" ref="S3:S66" si="5">ABS(I3-$B3)</f>
        <v>0.29970872312426544</v>
      </c>
      <c r="U3" s="2">
        <v>36892</v>
      </c>
      <c r="V3" t="s">
        <v>8</v>
      </c>
      <c r="W3">
        <f>(C3-$B3)^2</f>
        <v>0.14912199660365252</v>
      </c>
      <c r="X3">
        <f t="shared" ref="X3:X66" si="6">(D3-$B3)^2</f>
        <v>9.5808556135450015E-2</v>
      </c>
      <c r="Y3">
        <f t="shared" ref="Y3:Y66" si="7">(E3-$B3)^2</f>
        <v>0.15320933011103835</v>
      </c>
      <c r="Z3">
        <f t="shared" ref="Z3:Z66" si="8">(F3-$B3)^2</f>
        <v>0.11679024707219626</v>
      </c>
      <c r="AA3">
        <f t="shared" ref="AA3:AA66" si="9">(G3-$B3)^2</f>
        <v>4.3713945336436154E-2</v>
      </c>
      <c r="AB3">
        <f t="shared" ref="AB3:AB66" si="10">(H3-$B3)^2</f>
        <v>0.1255458095103571</v>
      </c>
      <c r="AC3">
        <f t="shared" ref="AC3:AC66" si="11">(I3-$B3)^2</f>
        <v>8.9825318716777597E-2</v>
      </c>
      <c r="AE3" s="2">
        <v>36892</v>
      </c>
      <c r="AF3" t="s">
        <v>8</v>
      </c>
      <c r="AG3" t="s">
        <v>8</v>
      </c>
      <c r="AH3" t="s">
        <v>8</v>
      </c>
      <c r="AI3" t="s">
        <v>8</v>
      </c>
      <c r="AJ3" t="s">
        <v>8</v>
      </c>
      <c r="AK3" t="s">
        <v>8</v>
      </c>
      <c r="AL3" t="s">
        <v>8</v>
      </c>
      <c r="AM3" t="s">
        <v>8</v>
      </c>
      <c r="AO3" s="2">
        <v>37226</v>
      </c>
      <c r="AP3" t="s">
        <v>8</v>
      </c>
      <c r="AQ3" s="4">
        <f>VLOOKUP($AO3,$AE$2:$AM$182,COLUMN(AG$3)-COLUMN($AE$3)+1,0)</f>
        <v>0.24644691823493084</v>
      </c>
      <c r="AR3" s="4">
        <f t="shared" ref="AR3:AR23" si="12">VLOOKUP($AO3,$AE$2:$AM$182,COLUMN(AH$3)-COLUMN($AE$3)+1,0)</f>
        <v>0.2304092316430017</v>
      </c>
      <c r="AS3" s="4">
        <f t="shared" ref="AS3:AS23" si="13">VLOOKUP($AO3,$AE$2:$AM$182,COLUMN(AI$3)-COLUMN($AE$3)+1,0)</f>
        <v>0.24318497887315188</v>
      </c>
      <c r="AT3" s="4">
        <f t="shared" ref="AT3:AT23" si="14">VLOOKUP($AO3,$AE$2:$AM$182,COLUMN(AJ$3)-COLUMN($AE$3)+1,0)</f>
        <v>0.33130810342191136</v>
      </c>
      <c r="AU3" s="4">
        <f t="shared" ref="AU3:AU23" si="15">VLOOKUP($AO3,$AE$2:$AM$182,COLUMN(AK$3)-COLUMN($AE$3)+1,0)</f>
        <v>0.3412594223154326</v>
      </c>
      <c r="AV3" s="4">
        <f t="shared" ref="AV3:AV23" si="16">VLOOKUP($AO3,$AE$2:$AM$182,COLUMN(AL$3)-COLUMN($AE$3)+1,0)</f>
        <v>0.28662742109768774</v>
      </c>
      <c r="AW3" s="4">
        <f t="shared" ref="AW3:AW23" si="17">VLOOKUP($AO3,$AE$2:$AM$182,COLUMN(AM$3)-COLUMN($AE$3)+1,0)</f>
        <v>0.2504732694851301</v>
      </c>
    </row>
    <row r="4" spans="1:49" x14ac:dyDescent="0.3">
      <c r="A4" s="2">
        <f>EDATE(A3,1)</f>
        <v>36923</v>
      </c>
      <c r="B4">
        <v>0.22753138371349729</v>
      </c>
      <c r="C4">
        <v>0.36217080857080752</v>
      </c>
      <c r="D4">
        <v>0.36015889448748639</v>
      </c>
      <c r="E4">
        <v>0.36306093512695908</v>
      </c>
      <c r="F4">
        <v>0.57110377955149616</v>
      </c>
      <c r="G4">
        <v>0.36244907274545901</v>
      </c>
      <c r="H4">
        <v>0.27348821437630622</v>
      </c>
      <c r="I4">
        <v>0.37816844355625839</v>
      </c>
      <c r="K4" s="2">
        <f>EDATE(K3,1)</f>
        <v>36923</v>
      </c>
      <c r="L4" t="s">
        <v>8</v>
      </c>
      <c r="M4">
        <f t="shared" ref="M4:M67" si="18">ABS(C4-$B4)</f>
        <v>0.13463942485731023</v>
      </c>
      <c r="N4">
        <f t="shared" si="0"/>
        <v>0.1326275107739891</v>
      </c>
      <c r="O4">
        <f t="shared" si="1"/>
        <v>0.13552955141346179</v>
      </c>
      <c r="P4">
        <f t="shared" si="2"/>
        <v>0.34357239583799887</v>
      </c>
      <c r="Q4">
        <f t="shared" si="3"/>
        <v>0.13491768903196172</v>
      </c>
      <c r="R4">
        <f t="shared" si="4"/>
        <v>4.5956830662808923E-2</v>
      </c>
      <c r="S4">
        <f t="shared" si="5"/>
        <v>0.1506370598427611</v>
      </c>
      <c r="U4" s="2">
        <f>EDATE(U3,1)</f>
        <v>36923</v>
      </c>
      <c r="V4" t="s">
        <v>8</v>
      </c>
      <c r="W4">
        <f t="shared" ref="W4:W67" si="19">(C4-$B4)^2</f>
        <v>1.8127774725907288E-2</v>
      </c>
      <c r="X4">
        <f t="shared" si="6"/>
        <v>1.7590056614104593E-2</v>
      </c>
      <c r="Y4">
        <f t="shared" si="7"/>
        <v>1.8368259306334182E-2</v>
      </c>
      <c r="Z4">
        <f t="shared" si="8"/>
        <v>0.11804199118186258</v>
      </c>
      <c r="AA4">
        <f t="shared" si="9"/>
        <v>1.8202782813725123E-2</v>
      </c>
      <c r="AB4">
        <f t="shared" si="10"/>
        <v>2.1120302845700945E-3</v>
      </c>
      <c r="AC4">
        <f t="shared" si="11"/>
        <v>2.269152379807159E-2</v>
      </c>
      <c r="AE4" s="2">
        <f>EDATE(AE3,1)</f>
        <v>36923</v>
      </c>
      <c r="AF4" t="s">
        <v>8</v>
      </c>
      <c r="AG4" t="s">
        <v>8</v>
      </c>
      <c r="AH4" t="s">
        <v>8</v>
      </c>
      <c r="AI4" t="s">
        <v>8</v>
      </c>
      <c r="AJ4" t="s">
        <v>8</v>
      </c>
      <c r="AK4" t="s">
        <v>8</v>
      </c>
      <c r="AL4" t="s">
        <v>8</v>
      </c>
      <c r="AM4" t="s">
        <v>8</v>
      </c>
      <c r="AO4" s="2">
        <f>EDATE(AO3,12)</f>
        <v>37591</v>
      </c>
      <c r="AP4" t="s">
        <v>8</v>
      </c>
      <c r="AQ4" s="4">
        <f t="shared" ref="AQ4:AQ23" si="20">VLOOKUP($AO4,$AE$2:$AM$182,COLUMN(AG$3)-COLUMN($AE$3)+1,0)</f>
        <v>0.10777379894784064</v>
      </c>
      <c r="AR4" s="4">
        <f t="shared" si="12"/>
        <v>0.13794831727783155</v>
      </c>
      <c r="AS4" s="4">
        <f t="shared" si="13"/>
        <v>0.10882785055749926</v>
      </c>
      <c r="AT4" s="4">
        <f t="shared" si="14"/>
        <v>0.14611240943475809</v>
      </c>
      <c r="AU4" s="4">
        <f t="shared" si="15"/>
        <v>0.17828437382838525</v>
      </c>
      <c r="AV4" s="4">
        <f t="shared" si="16"/>
        <v>0.1509568974703091</v>
      </c>
      <c r="AW4" s="4">
        <f t="shared" si="17"/>
        <v>0.10587982130696433</v>
      </c>
    </row>
    <row r="5" spans="1:49" x14ac:dyDescent="0.3">
      <c r="A5" s="2">
        <f t="shared" ref="A5:A68" si="21">EDATE(A4,1)</f>
        <v>36951</v>
      </c>
      <c r="B5">
        <v>5.6802046400861173E-2</v>
      </c>
      <c r="C5">
        <v>0.33069449300419002</v>
      </c>
      <c r="D5">
        <v>0.36660120763206522</v>
      </c>
      <c r="E5">
        <v>0.33745335469538779</v>
      </c>
      <c r="F5">
        <v>0.22753138371349729</v>
      </c>
      <c r="G5">
        <v>0.36217596001462499</v>
      </c>
      <c r="H5">
        <v>0.37399592810085891</v>
      </c>
      <c r="I5">
        <v>0.32222821229985699</v>
      </c>
      <c r="K5" s="2">
        <f t="shared" ref="K5:K68" si="22">EDATE(K4,1)</f>
        <v>36951</v>
      </c>
      <c r="L5" t="s">
        <v>8</v>
      </c>
      <c r="M5">
        <f t="shared" si="18"/>
        <v>0.27389244660332884</v>
      </c>
      <c r="N5">
        <f t="shared" si="0"/>
        <v>0.30979916123120405</v>
      </c>
      <c r="O5">
        <f t="shared" si="1"/>
        <v>0.28065130829452661</v>
      </c>
      <c r="P5">
        <f t="shared" si="2"/>
        <v>0.17072933731263612</v>
      </c>
      <c r="Q5">
        <f t="shared" si="3"/>
        <v>0.30537391361376381</v>
      </c>
      <c r="R5">
        <f t="shared" si="4"/>
        <v>0.31719388169999774</v>
      </c>
      <c r="S5">
        <f t="shared" si="5"/>
        <v>0.26542616589899581</v>
      </c>
      <c r="U5" s="2">
        <f t="shared" ref="U5:U68" si="23">EDATE(U4,1)</f>
        <v>36951</v>
      </c>
      <c r="V5" t="s">
        <v>8</v>
      </c>
      <c r="W5">
        <f t="shared" si="19"/>
        <v>7.5017072306357346E-2</v>
      </c>
      <c r="X5">
        <f t="shared" si="6"/>
        <v>9.5975520299557554E-2</v>
      </c>
      <c r="Y5">
        <f t="shared" si="7"/>
        <v>7.8765156847429421E-2</v>
      </c>
      <c r="Z5">
        <f t="shared" si="8"/>
        <v>2.9148506619211884E-2</v>
      </c>
      <c r="AA5">
        <f t="shared" si="9"/>
        <v>9.3253227115786486E-2</v>
      </c>
      <c r="AB5">
        <f t="shared" si="10"/>
        <v>0.10061195858791216</v>
      </c>
      <c r="AC5">
        <f t="shared" si="11"/>
        <v>7.0451049543841252E-2</v>
      </c>
      <c r="AE5" s="2">
        <f t="shared" ref="AE5:AE68" si="24">EDATE(AE4,1)</f>
        <v>36951</v>
      </c>
      <c r="AF5" t="s">
        <v>8</v>
      </c>
      <c r="AG5" t="s">
        <v>8</v>
      </c>
      <c r="AH5" t="s">
        <v>8</v>
      </c>
      <c r="AI5" t="s">
        <v>8</v>
      </c>
      <c r="AJ5" t="s">
        <v>8</v>
      </c>
      <c r="AK5" t="s">
        <v>8</v>
      </c>
      <c r="AL5" t="s">
        <v>8</v>
      </c>
      <c r="AM5" t="s">
        <v>8</v>
      </c>
      <c r="AO5" s="2">
        <f t="shared" ref="AO5:AO23" si="25">EDATE(AO4,12)</f>
        <v>37956</v>
      </c>
      <c r="AP5" t="s">
        <v>8</v>
      </c>
      <c r="AQ5" s="4">
        <f t="shared" si="20"/>
        <v>0.25607990255211943</v>
      </c>
      <c r="AR5" s="4">
        <f t="shared" si="12"/>
        <v>0.2822574151811782</v>
      </c>
      <c r="AS5" s="4">
        <f t="shared" si="13"/>
        <v>0.25788242702650649</v>
      </c>
      <c r="AT5" s="4">
        <f t="shared" si="14"/>
        <v>0.28619763551758504</v>
      </c>
      <c r="AU5" s="4">
        <f t="shared" si="15"/>
        <v>0.32361623598437378</v>
      </c>
      <c r="AV5" s="4">
        <f t="shared" si="16"/>
        <v>0.35452824283142415</v>
      </c>
      <c r="AW5" s="4">
        <f t="shared" si="17"/>
        <v>0.26991528701815704</v>
      </c>
    </row>
    <row r="6" spans="1:49" x14ac:dyDescent="0.3">
      <c r="A6" s="2">
        <f t="shared" si="21"/>
        <v>36982</v>
      </c>
      <c r="B6">
        <v>0.17021280705309391</v>
      </c>
      <c r="C6">
        <v>0.17602497412283891</v>
      </c>
      <c r="D6">
        <v>0.18365229294334129</v>
      </c>
      <c r="E6">
        <v>0.16903641754854401</v>
      </c>
      <c r="F6">
        <v>5.6802046400861173E-2</v>
      </c>
      <c r="G6">
        <v>0.36155904301742547</v>
      </c>
      <c r="H6">
        <v>0.31651084364797238</v>
      </c>
      <c r="I6">
        <v>0.26665813137739192</v>
      </c>
      <c r="K6" s="2">
        <f t="shared" si="22"/>
        <v>36982</v>
      </c>
      <c r="L6" t="s">
        <v>8</v>
      </c>
      <c r="M6">
        <f t="shared" si="18"/>
        <v>5.8121670697449945E-3</v>
      </c>
      <c r="N6">
        <f t="shared" si="0"/>
        <v>1.3439485890247377E-2</v>
      </c>
      <c r="O6">
        <f t="shared" si="1"/>
        <v>1.1763895045499018E-3</v>
      </c>
      <c r="P6">
        <f t="shared" si="2"/>
        <v>0.11341076065223274</v>
      </c>
      <c r="Q6">
        <f t="shared" si="3"/>
        <v>0.19134623596433156</v>
      </c>
      <c r="R6">
        <f t="shared" si="4"/>
        <v>0.14629803659487847</v>
      </c>
      <c r="S6">
        <f t="shared" si="5"/>
        <v>9.6445324324298004E-2</v>
      </c>
      <c r="U6" s="2">
        <f t="shared" si="23"/>
        <v>36982</v>
      </c>
      <c r="V6" t="s">
        <v>8</v>
      </c>
      <c r="W6">
        <f t="shared" si="19"/>
        <v>3.3781286046628116E-5</v>
      </c>
      <c r="X6">
        <f t="shared" si="6"/>
        <v>1.8061978099415831E-4</v>
      </c>
      <c r="Y6">
        <f t="shared" si="7"/>
        <v>1.3838922664151634E-6</v>
      </c>
      <c r="Z6">
        <f t="shared" si="8"/>
        <v>1.2862000631718022E-2</v>
      </c>
      <c r="AA6">
        <f t="shared" si="9"/>
        <v>3.6613382017717654E-2</v>
      </c>
      <c r="AB6">
        <f t="shared" si="10"/>
        <v>2.1403115511516399E-2</v>
      </c>
      <c r="AC6">
        <f t="shared" si="11"/>
        <v>9.3017005840190289E-3</v>
      </c>
      <c r="AE6" s="2">
        <f t="shared" si="24"/>
        <v>36982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O6" s="2">
        <f t="shared" si="25"/>
        <v>38322</v>
      </c>
      <c r="AP6" t="s">
        <v>8</v>
      </c>
      <c r="AQ6" s="4">
        <f t="shared" si="20"/>
        <v>0.16584650067894491</v>
      </c>
      <c r="AR6" s="4">
        <f t="shared" si="12"/>
        <v>0.17248372922199612</v>
      </c>
      <c r="AS6" s="4">
        <f t="shared" si="13"/>
        <v>0.16489453234086401</v>
      </c>
      <c r="AT6" s="4">
        <f t="shared" si="14"/>
        <v>0.21598211187199629</v>
      </c>
      <c r="AU6" s="4">
        <f t="shared" si="15"/>
        <v>0.18246399163649948</v>
      </c>
      <c r="AV6" s="4">
        <f t="shared" si="16"/>
        <v>0.20966885525473297</v>
      </c>
      <c r="AW6" s="4">
        <f t="shared" si="17"/>
        <v>0.16241473541718965</v>
      </c>
    </row>
    <row r="7" spans="1:49" x14ac:dyDescent="0.3">
      <c r="A7" s="2">
        <f t="shared" si="21"/>
        <v>37012</v>
      </c>
      <c r="B7">
        <v>0.50890695074716774</v>
      </c>
      <c r="C7">
        <v>0.2148771318275994</v>
      </c>
      <c r="D7">
        <v>0.21550704834721579</v>
      </c>
      <c r="E7">
        <v>0.21619043092128479</v>
      </c>
      <c r="F7">
        <v>0.17021280705309391</v>
      </c>
      <c r="G7">
        <v>0.36117326431588448</v>
      </c>
      <c r="H7">
        <v>0.21985542797937499</v>
      </c>
      <c r="I7">
        <v>0.28229310133724123</v>
      </c>
      <c r="K7" s="2">
        <f t="shared" si="22"/>
        <v>37012</v>
      </c>
      <c r="L7" t="s">
        <v>8</v>
      </c>
      <c r="M7">
        <f t="shared" si="18"/>
        <v>0.29402981891956836</v>
      </c>
      <c r="N7">
        <f t="shared" si="0"/>
        <v>0.29339990239995195</v>
      </c>
      <c r="O7">
        <f t="shared" si="1"/>
        <v>0.29271651982588298</v>
      </c>
      <c r="P7">
        <f t="shared" si="2"/>
        <v>0.3386941436940738</v>
      </c>
      <c r="Q7">
        <f t="shared" si="3"/>
        <v>0.14773368643128326</v>
      </c>
      <c r="R7">
        <f t="shared" si="4"/>
        <v>0.28905152276779278</v>
      </c>
      <c r="S7">
        <f t="shared" si="5"/>
        <v>0.22661384940992652</v>
      </c>
      <c r="U7" s="2">
        <f t="shared" si="23"/>
        <v>37012</v>
      </c>
      <c r="V7" t="s">
        <v>8</v>
      </c>
      <c r="W7">
        <f t="shared" si="19"/>
        <v>8.6453534413874156E-2</v>
      </c>
      <c r="X7">
        <f t="shared" si="6"/>
        <v>8.6083502728301328E-2</v>
      </c>
      <c r="Y7">
        <f t="shared" si="7"/>
        <v>8.5682960978976541E-2</v>
      </c>
      <c r="Z7">
        <f t="shared" si="8"/>
        <v>0.11471372297266191</v>
      </c>
      <c r="AA7">
        <f t="shared" si="9"/>
        <v>2.1825242106576728E-2</v>
      </c>
      <c r="AB7">
        <f t="shared" si="10"/>
        <v>8.3550782814379831E-2</v>
      </c>
      <c r="AC7">
        <f t="shared" si="11"/>
        <v>5.1353836744384852E-2</v>
      </c>
      <c r="AE7" s="2">
        <f t="shared" si="24"/>
        <v>37012</v>
      </c>
      <c r="AF7" t="s">
        <v>8</v>
      </c>
      <c r="AG7" t="s">
        <v>8</v>
      </c>
      <c r="AH7" t="s">
        <v>8</v>
      </c>
      <c r="AI7" t="s">
        <v>8</v>
      </c>
      <c r="AJ7" t="s">
        <v>8</v>
      </c>
      <c r="AK7" t="s">
        <v>8</v>
      </c>
      <c r="AL7" t="s">
        <v>8</v>
      </c>
      <c r="AM7" t="s">
        <v>8</v>
      </c>
      <c r="AO7" s="2">
        <f t="shared" si="25"/>
        <v>38687</v>
      </c>
      <c r="AP7" t="s">
        <v>8</v>
      </c>
      <c r="AQ7" s="4">
        <f t="shared" si="20"/>
        <v>0.4202148194031069</v>
      </c>
      <c r="AR7" s="4">
        <f t="shared" si="12"/>
        <v>0.46015048306560075</v>
      </c>
      <c r="AS7" s="4">
        <f t="shared" si="13"/>
        <v>0.41922365137360085</v>
      </c>
      <c r="AT7" s="4">
        <f t="shared" si="14"/>
        <v>0.53385972934169534</v>
      </c>
      <c r="AU7" s="4">
        <f t="shared" si="15"/>
        <v>0.45491617828551745</v>
      </c>
      <c r="AV7" s="4">
        <f t="shared" si="16"/>
        <v>0.55544286140484433</v>
      </c>
      <c r="AW7" s="4">
        <f t="shared" si="17"/>
        <v>0.44274747350539251</v>
      </c>
    </row>
    <row r="8" spans="1:49" x14ac:dyDescent="0.3">
      <c r="A8" s="2">
        <f t="shared" si="21"/>
        <v>37043</v>
      </c>
      <c r="B8">
        <v>0.2253522080443382</v>
      </c>
      <c r="C8">
        <v>0.27504288607002619</v>
      </c>
      <c r="D8">
        <v>0.30375672764446587</v>
      </c>
      <c r="E8">
        <v>0.27547938827054341</v>
      </c>
      <c r="F8">
        <v>0.50890695074716774</v>
      </c>
      <c r="G8">
        <v>0.36147051519401591</v>
      </c>
      <c r="H8">
        <v>0.24049523309322479</v>
      </c>
      <c r="I8">
        <v>0.3039731970436344</v>
      </c>
      <c r="K8" s="2">
        <f t="shared" si="22"/>
        <v>37043</v>
      </c>
      <c r="L8" t="s">
        <v>8</v>
      </c>
      <c r="M8">
        <f t="shared" si="18"/>
        <v>4.9690678025687995E-2</v>
      </c>
      <c r="N8">
        <f t="shared" si="0"/>
        <v>7.8404519600127676E-2</v>
      </c>
      <c r="O8">
        <f t="shared" si="1"/>
        <v>5.0127180226205215E-2</v>
      </c>
      <c r="P8">
        <f t="shared" si="2"/>
        <v>0.28355474270282954</v>
      </c>
      <c r="Q8">
        <f t="shared" si="3"/>
        <v>0.13611830714967771</v>
      </c>
      <c r="R8">
        <f t="shared" si="4"/>
        <v>1.5143025048886594E-2</v>
      </c>
      <c r="S8">
        <f t="shared" si="5"/>
        <v>7.8620988999296204E-2</v>
      </c>
      <c r="U8" s="2">
        <f t="shared" si="23"/>
        <v>37043</v>
      </c>
      <c r="V8" t="s">
        <v>8</v>
      </c>
      <c r="W8">
        <f t="shared" si="19"/>
        <v>2.4691634826525919E-3</v>
      </c>
      <c r="X8">
        <f t="shared" si="6"/>
        <v>6.1472686937268052E-3</v>
      </c>
      <c r="Y8">
        <f t="shared" si="7"/>
        <v>2.5127341974304591E-3</v>
      </c>
      <c r="Z8">
        <f t="shared" si="8"/>
        <v>8.040329210926786E-2</v>
      </c>
      <c r="AA8">
        <f t="shared" si="9"/>
        <v>1.8528193541294001E-2</v>
      </c>
      <c r="AB8">
        <f t="shared" si="10"/>
        <v>2.2931120763120682E-4</v>
      </c>
      <c r="AC8">
        <f t="shared" si="11"/>
        <v>6.1812599112274543E-3</v>
      </c>
      <c r="AE8" s="2">
        <f t="shared" si="24"/>
        <v>37043</v>
      </c>
      <c r="AF8" t="s">
        <v>8</v>
      </c>
      <c r="AG8" t="s">
        <v>8</v>
      </c>
      <c r="AH8" t="s">
        <v>8</v>
      </c>
      <c r="AI8" t="s">
        <v>8</v>
      </c>
      <c r="AJ8" t="s">
        <v>8</v>
      </c>
      <c r="AK8" t="s">
        <v>8</v>
      </c>
      <c r="AL8" t="s">
        <v>8</v>
      </c>
      <c r="AM8" t="s">
        <v>8</v>
      </c>
      <c r="AO8" s="2">
        <f t="shared" si="25"/>
        <v>39052</v>
      </c>
      <c r="AP8" t="s">
        <v>8</v>
      </c>
      <c r="AQ8" s="4">
        <f t="shared" si="20"/>
        <v>0.33258126917241787</v>
      </c>
      <c r="AR8" s="4">
        <f t="shared" si="12"/>
        <v>0.34416317789331768</v>
      </c>
      <c r="AS8" s="4">
        <f t="shared" si="13"/>
        <v>0.32813595211512614</v>
      </c>
      <c r="AT8" s="4">
        <f t="shared" si="14"/>
        <v>0.43848287009415954</v>
      </c>
      <c r="AU8" s="4">
        <f t="shared" si="15"/>
        <v>0.37936066878984998</v>
      </c>
      <c r="AV8" s="4">
        <f t="shared" si="16"/>
        <v>0.46276633628738417</v>
      </c>
      <c r="AW8" s="4">
        <f t="shared" si="17"/>
        <v>0.33255854306834898</v>
      </c>
    </row>
    <row r="9" spans="1:49" x14ac:dyDescent="0.3">
      <c r="A9" s="2">
        <f t="shared" si="21"/>
        <v>37073</v>
      </c>
      <c r="B9">
        <v>-0.1689665285127262</v>
      </c>
      <c r="C9">
        <v>0.1684694943377969</v>
      </c>
      <c r="D9">
        <v>0.17837204121250941</v>
      </c>
      <c r="E9">
        <v>0.1635499239234158</v>
      </c>
      <c r="F9">
        <v>0.2253522080443382</v>
      </c>
      <c r="G9">
        <v>0.3611971852599804</v>
      </c>
      <c r="H9">
        <v>0.33231884719741189</v>
      </c>
      <c r="I9">
        <v>0.219908560092059</v>
      </c>
      <c r="K9" s="2">
        <f t="shared" si="22"/>
        <v>37073</v>
      </c>
      <c r="L9" t="s">
        <v>8</v>
      </c>
      <c r="M9">
        <f t="shared" si="18"/>
        <v>0.3374360228505231</v>
      </c>
      <c r="N9">
        <f t="shared" si="0"/>
        <v>0.34733856972523558</v>
      </c>
      <c r="O9">
        <f t="shared" si="1"/>
        <v>0.33251645243614203</v>
      </c>
      <c r="P9">
        <f t="shared" si="2"/>
        <v>0.3943187365570644</v>
      </c>
      <c r="Q9">
        <f t="shared" si="3"/>
        <v>0.53016371377270666</v>
      </c>
      <c r="R9">
        <f t="shared" si="4"/>
        <v>0.50128537571013809</v>
      </c>
      <c r="S9">
        <f t="shared" si="5"/>
        <v>0.3888750886047852</v>
      </c>
      <c r="U9" s="2">
        <f t="shared" si="23"/>
        <v>37073</v>
      </c>
      <c r="V9" t="s">
        <v>8</v>
      </c>
      <c r="W9">
        <f t="shared" si="19"/>
        <v>0.11386306951717874</v>
      </c>
      <c r="X9">
        <f t="shared" si="6"/>
        <v>0.12064408201877234</v>
      </c>
      <c r="Y9">
        <f t="shared" si="7"/>
        <v>0.1105671911407171</v>
      </c>
      <c r="Z9">
        <f t="shared" si="8"/>
        <v>0.15548726599995955</v>
      </c>
      <c r="AA9">
        <f t="shared" si="9"/>
        <v>0.28107356340126843</v>
      </c>
      <c r="AB9">
        <f t="shared" si="10"/>
        <v>0.25128702790085433</v>
      </c>
      <c r="AC9">
        <f t="shared" si="11"/>
        <v>0.15122383453737953</v>
      </c>
      <c r="AE9" s="2">
        <f t="shared" si="24"/>
        <v>37073</v>
      </c>
      <c r="AF9" t="s">
        <v>8</v>
      </c>
      <c r="AG9" t="s">
        <v>8</v>
      </c>
      <c r="AH9" t="s">
        <v>8</v>
      </c>
      <c r="AI9" t="s">
        <v>8</v>
      </c>
      <c r="AJ9" t="s">
        <v>8</v>
      </c>
      <c r="AK9" t="s">
        <v>8</v>
      </c>
      <c r="AL9" t="s">
        <v>8</v>
      </c>
      <c r="AM9" t="s">
        <v>8</v>
      </c>
      <c r="AO9" s="2">
        <f t="shared" si="25"/>
        <v>39417</v>
      </c>
      <c r="AP9" t="s">
        <v>8</v>
      </c>
      <c r="AQ9" s="4">
        <f t="shared" si="20"/>
        <v>0.20860366741550065</v>
      </c>
      <c r="AR9" s="4">
        <f t="shared" si="12"/>
        <v>0.20515309183521777</v>
      </c>
      <c r="AS9" s="4">
        <f t="shared" si="13"/>
        <v>0.21215888159732721</v>
      </c>
      <c r="AT9" s="4">
        <f t="shared" si="14"/>
        <v>0.28322601522468688</v>
      </c>
      <c r="AU9" s="4">
        <f t="shared" si="15"/>
        <v>0.18543711936595758</v>
      </c>
      <c r="AV9" s="4">
        <f t="shared" si="16"/>
        <v>0.22103791489418748</v>
      </c>
      <c r="AW9" s="4">
        <f t="shared" si="17"/>
        <v>0.2124658329702149</v>
      </c>
    </row>
    <row r="10" spans="1:49" x14ac:dyDescent="0.3">
      <c r="A10" s="2">
        <f t="shared" si="21"/>
        <v>37104</v>
      </c>
      <c r="B10">
        <v>0</v>
      </c>
      <c r="C10">
        <v>4.9603262813826682E-2</v>
      </c>
      <c r="D10">
        <v>7.4754544323909225E-2</v>
      </c>
      <c r="E10">
        <v>4.765319321218224E-2</v>
      </c>
      <c r="F10">
        <v>-0.1689665285127262</v>
      </c>
      <c r="G10">
        <v>0.36013473292777048</v>
      </c>
      <c r="H10">
        <v>0.27414181348784078</v>
      </c>
      <c r="I10">
        <v>6.7153448275174832E-2</v>
      </c>
      <c r="K10" s="2">
        <f t="shared" si="22"/>
        <v>37104</v>
      </c>
      <c r="L10" t="s">
        <v>8</v>
      </c>
      <c r="M10">
        <f t="shared" si="18"/>
        <v>4.9603262813826682E-2</v>
      </c>
      <c r="N10">
        <f t="shared" si="0"/>
        <v>7.4754544323909225E-2</v>
      </c>
      <c r="O10">
        <f t="shared" si="1"/>
        <v>4.765319321218224E-2</v>
      </c>
      <c r="P10">
        <f t="shared" si="2"/>
        <v>0.1689665285127262</v>
      </c>
      <c r="Q10">
        <f t="shared" si="3"/>
        <v>0.36013473292777048</v>
      </c>
      <c r="R10">
        <f t="shared" si="4"/>
        <v>0.27414181348784078</v>
      </c>
      <c r="S10">
        <f t="shared" si="5"/>
        <v>6.7153448275174832E-2</v>
      </c>
      <c r="U10" s="2">
        <f t="shared" si="23"/>
        <v>37104</v>
      </c>
      <c r="V10" t="s">
        <v>8</v>
      </c>
      <c r="W10">
        <f t="shared" si="19"/>
        <v>2.4604836817775609E-3</v>
      </c>
      <c r="X10">
        <f t="shared" si="6"/>
        <v>5.5882418970753089E-3</v>
      </c>
      <c r="Y10">
        <f t="shared" si="7"/>
        <v>2.2708268233175718E-3</v>
      </c>
      <c r="Z10">
        <f t="shared" si="8"/>
        <v>2.8549687757641915E-2</v>
      </c>
      <c r="AA10">
        <f t="shared" si="9"/>
        <v>0.12969702586095658</v>
      </c>
      <c r="AB10">
        <f t="shared" si="10"/>
        <v>7.5153733902402084E-2</v>
      </c>
      <c r="AC10">
        <f t="shared" si="11"/>
        <v>4.509585615246582E-3</v>
      </c>
      <c r="AE10" s="2">
        <f t="shared" si="24"/>
        <v>37104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O10" s="2">
        <f t="shared" si="25"/>
        <v>39783</v>
      </c>
      <c r="AP10" t="s">
        <v>8</v>
      </c>
      <c r="AQ10" s="4">
        <f t="shared" si="20"/>
        <v>0.55294905697798014</v>
      </c>
      <c r="AR10" s="4">
        <f t="shared" si="12"/>
        <v>0.65562659202840112</v>
      </c>
      <c r="AS10" s="4">
        <f t="shared" si="13"/>
        <v>0.54892254449909317</v>
      </c>
      <c r="AT10" s="4">
        <f t="shared" si="14"/>
        <v>0.57404815369392626</v>
      </c>
      <c r="AU10" s="4">
        <f t="shared" si="15"/>
        <v>0.83450133362031054</v>
      </c>
      <c r="AV10" s="4">
        <f t="shared" si="16"/>
        <v>0.79552698382446141</v>
      </c>
      <c r="AW10" s="4">
        <f t="shared" si="17"/>
        <v>0.65373187606161964</v>
      </c>
    </row>
    <row r="11" spans="1:49" x14ac:dyDescent="0.3">
      <c r="A11" s="2">
        <f t="shared" si="21"/>
        <v>37135</v>
      </c>
      <c r="B11">
        <v>0.39381204201376357</v>
      </c>
      <c r="C11">
        <v>0.1128526817251583</v>
      </c>
      <c r="D11">
        <v>0.16848041154343671</v>
      </c>
      <c r="E11">
        <v>0.1168611244247094</v>
      </c>
      <c r="F11">
        <v>0</v>
      </c>
      <c r="G11">
        <v>0.35941446346191502</v>
      </c>
      <c r="H11">
        <v>0.11457098801924449</v>
      </c>
      <c r="I11">
        <v>0.21858464979758591</v>
      </c>
      <c r="K11" s="2">
        <f t="shared" si="22"/>
        <v>37135</v>
      </c>
      <c r="L11" t="s">
        <v>8</v>
      </c>
      <c r="M11">
        <f t="shared" si="18"/>
        <v>0.28095936028860524</v>
      </c>
      <c r="N11">
        <f t="shared" si="0"/>
        <v>0.22533163047032687</v>
      </c>
      <c r="O11">
        <f t="shared" si="1"/>
        <v>0.27695091758905416</v>
      </c>
      <c r="P11">
        <f t="shared" si="2"/>
        <v>0.39381204201376357</v>
      </c>
      <c r="Q11">
        <f t="shared" si="3"/>
        <v>3.4397578551848551E-2</v>
      </c>
      <c r="R11">
        <f t="shared" si="4"/>
        <v>0.2792410539945191</v>
      </c>
      <c r="S11">
        <f t="shared" si="5"/>
        <v>0.17522739221617767</v>
      </c>
      <c r="U11" s="2">
        <f t="shared" si="23"/>
        <v>37135</v>
      </c>
      <c r="V11" t="s">
        <v>8</v>
      </c>
      <c r="W11">
        <f t="shared" si="19"/>
        <v>7.8938162133782283E-2</v>
      </c>
      <c r="X11">
        <f t="shared" si="6"/>
        <v>5.0774343690415939E-2</v>
      </c>
      <c r="Y11">
        <f t="shared" si="7"/>
        <v>7.6701810753419072E-2</v>
      </c>
      <c r="Z11">
        <f t="shared" si="8"/>
        <v>0.15508792443505029</v>
      </c>
      <c r="AA11">
        <f t="shared" si="9"/>
        <v>1.1831934102305914E-3</v>
      </c>
      <c r="AB11">
        <f t="shared" si="10"/>
        <v>7.7975566235969934E-2</v>
      </c>
      <c r="AC11">
        <f t="shared" si="11"/>
        <v>3.0704638982882164E-2</v>
      </c>
      <c r="AE11" s="2">
        <f t="shared" si="24"/>
        <v>37135</v>
      </c>
      <c r="AF11" t="s">
        <v>8</v>
      </c>
      <c r="AG11" t="s">
        <v>8</v>
      </c>
      <c r="AH11" t="s">
        <v>8</v>
      </c>
      <c r="AI11" t="s">
        <v>8</v>
      </c>
      <c r="AJ11" t="s">
        <v>8</v>
      </c>
      <c r="AK11" t="s">
        <v>8</v>
      </c>
      <c r="AL11" t="s">
        <v>8</v>
      </c>
      <c r="AM11" t="s">
        <v>8</v>
      </c>
      <c r="AO11" s="2">
        <f t="shared" si="25"/>
        <v>40148</v>
      </c>
      <c r="AP11" t="s">
        <v>8</v>
      </c>
      <c r="AQ11" s="4">
        <f t="shared" si="20"/>
        <v>0.38567711728324355</v>
      </c>
      <c r="AR11" s="4">
        <f t="shared" si="12"/>
        <v>0.371680920768034</v>
      </c>
      <c r="AS11" s="4">
        <f t="shared" si="13"/>
        <v>0.38185840457331632</v>
      </c>
      <c r="AT11" s="4">
        <f t="shared" si="14"/>
        <v>0.48932288751346686</v>
      </c>
      <c r="AU11" s="4">
        <f t="shared" si="15"/>
        <v>0.25198946329404237</v>
      </c>
      <c r="AV11" s="4">
        <f t="shared" si="16"/>
        <v>0.46722859984987786</v>
      </c>
      <c r="AW11" s="4">
        <f t="shared" si="17"/>
        <v>0.37691991705724703</v>
      </c>
    </row>
    <row r="12" spans="1:49" x14ac:dyDescent="0.3">
      <c r="A12" s="2">
        <f t="shared" si="21"/>
        <v>37165</v>
      </c>
      <c r="B12">
        <v>-0.28113597375467592</v>
      </c>
      <c r="C12">
        <v>0.16165645552916069</v>
      </c>
      <c r="D12">
        <v>8.6276013222063644E-2</v>
      </c>
      <c r="E12">
        <v>0.13606851088555291</v>
      </c>
      <c r="F12">
        <v>0.39381204201376357</v>
      </c>
      <c r="G12">
        <v>0.35948312130333587</v>
      </c>
      <c r="H12">
        <v>0.12536821414082541</v>
      </c>
      <c r="I12">
        <v>0.24268154645232609</v>
      </c>
      <c r="K12" s="2">
        <f t="shared" si="22"/>
        <v>37165</v>
      </c>
      <c r="L12" t="s">
        <v>8</v>
      </c>
      <c r="M12">
        <f t="shared" si="18"/>
        <v>0.44279242928383661</v>
      </c>
      <c r="N12">
        <f t="shared" si="0"/>
        <v>0.36741198697673955</v>
      </c>
      <c r="O12">
        <f t="shared" si="1"/>
        <v>0.41720448464022886</v>
      </c>
      <c r="P12">
        <f t="shared" si="2"/>
        <v>0.67494801576843955</v>
      </c>
      <c r="Q12">
        <f t="shared" si="3"/>
        <v>0.64061909505801173</v>
      </c>
      <c r="R12">
        <f t="shared" si="4"/>
        <v>0.40650418789550136</v>
      </c>
      <c r="S12">
        <f t="shared" si="5"/>
        <v>0.52381752020700201</v>
      </c>
      <c r="U12" s="2">
        <f t="shared" si="23"/>
        <v>37165</v>
      </c>
      <c r="V12" t="s">
        <v>8</v>
      </c>
      <c r="W12">
        <f t="shared" si="19"/>
        <v>0.19606513543108145</v>
      </c>
      <c r="X12">
        <f t="shared" si="6"/>
        <v>0.13499156817419583</v>
      </c>
      <c r="Y12">
        <f t="shared" si="7"/>
        <v>0.17405958200391897</v>
      </c>
      <c r="Z12">
        <f t="shared" si="8"/>
        <v>0.45555482398975372</v>
      </c>
      <c r="AA12">
        <f t="shared" si="9"/>
        <v>0.41039282495294588</v>
      </c>
      <c r="AB12">
        <f t="shared" si="10"/>
        <v>0.16524565477658107</v>
      </c>
      <c r="AC12">
        <f t="shared" si="11"/>
        <v>0.27438479447581293</v>
      </c>
      <c r="AE12" s="2">
        <f t="shared" si="24"/>
        <v>37165</v>
      </c>
      <c r="AF12" t="s">
        <v>8</v>
      </c>
      <c r="AG12" t="s">
        <v>8</v>
      </c>
      <c r="AH12" t="s">
        <v>8</v>
      </c>
      <c r="AI12" t="s">
        <v>8</v>
      </c>
      <c r="AJ12" t="s">
        <v>8</v>
      </c>
      <c r="AK12" t="s">
        <v>8</v>
      </c>
      <c r="AL12" t="s">
        <v>8</v>
      </c>
      <c r="AM12" t="s">
        <v>8</v>
      </c>
      <c r="AO12" s="2">
        <f t="shared" si="25"/>
        <v>40513</v>
      </c>
      <c r="AP12" t="s">
        <v>8</v>
      </c>
      <c r="AQ12" s="4">
        <f t="shared" si="20"/>
        <v>0.18500510870879297</v>
      </c>
      <c r="AR12" s="4">
        <f t="shared" si="12"/>
        <v>0.1768047777714864</v>
      </c>
      <c r="AS12" s="4">
        <f t="shared" si="13"/>
        <v>0.18863904288453559</v>
      </c>
      <c r="AT12" s="4">
        <f t="shared" si="14"/>
        <v>0.11821681832511845</v>
      </c>
      <c r="AU12" s="4">
        <f t="shared" si="15"/>
        <v>0.26131893432260078</v>
      </c>
      <c r="AV12" s="4">
        <f t="shared" si="16"/>
        <v>0.15611743081424787</v>
      </c>
      <c r="AW12" s="4">
        <f t="shared" si="17"/>
        <v>0.18221995269085034</v>
      </c>
    </row>
    <row r="13" spans="1:49" x14ac:dyDescent="0.3">
      <c r="A13" s="2">
        <f t="shared" si="21"/>
        <v>37196</v>
      </c>
      <c r="B13">
        <v>-5.6322164259903218E-2</v>
      </c>
      <c r="C13">
        <v>-3.6764143761897461E-2</v>
      </c>
      <c r="D13">
        <v>9.3836094449996257E-2</v>
      </c>
      <c r="E13">
        <v>-3.1636287389955622E-2</v>
      </c>
      <c r="F13">
        <v>-0.28113597375467592</v>
      </c>
      <c r="G13">
        <v>0.35820698764784181</v>
      </c>
      <c r="H13">
        <v>0.22518022728351569</v>
      </c>
      <c r="I13">
        <v>6.7307780928555258E-2</v>
      </c>
      <c r="K13" s="2">
        <f t="shared" si="22"/>
        <v>37196</v>
      </c>
      <c r="L13" t="s">
        <v>8</v>
      </c>
      <c r="M13">
        <f t="shared" si="18"/>
        <v>1.9558020498005757E-2</v>
      </c>
      <c r="N13">
        <f t="shared" si="0"/>
        <v>0.15015825870989946</v>
      </c>
      <c r="O13">
        <f t="shared" si="1"/>
        <v>2.4685876869947596E-2</v>
      </c>
      <c r="P13">
        <f t="shared" si="2"/>
        <v>0.2248138094947727</v>
      </c>
      <c r="Q13">
        <f t="shared" si="3"/>
        <v>0.41452915190774503</v>
      </c>
      <c r="R13">
        <f t="shared" si="4"/>
        <v>0.28150239154341894</v>
      </c>
      <c r="S13">
        <f t="shared" si="5"/>
        <v>0.12362994518845848</v>
      </c>
      <c r="U13" s="2">
        <f t="shared" si="23"/>
        <v>37196</v>
      </c>
      <c r="V13" t="s">
        <v>8</v>
      </c>
      <c r="W13">
        <f t="shared" si="19"/>
        <v>3.8251616580041334E-4</v>
      </c>
      <c r="X13">
        <f t="shared" si="6"/>
        <v>2.2547502658789097E-2</v>
      </c>
      <c r="Y13">
        <f t="shared" si="7"/>
        <v>6.0939251683821366E-4</v>
      </c>
      <c r="Z13">
        <f t="shared" si="8"/>
        <v>5.0541248939551954E-2</v>
      </c>
      <c r="AA13">
        <f t="shared" si="9"/>
        <v>0.17183441778135436</v>
      </c>
      <c r="AB13">
        <f t="shared" si="10"/>
        <v>7.9243596444664346E-2</v>
      </c>
      <c r="AC13">
        <f t="shared" si="11"/>
        <v>1.5284363347301247E-2</v>
      </c>
      <c r="AE13" s="2">
        <f t="shared" si="24"/>
        <v>37196</v>
      </c>
      <c r="AF13" t="s">
        <v>8</v>
      </c>
      <c r="AG13" t="s">
        <v>8</v>
      </c>
      <c r="AH13" t="s">
        <v>8</v>
      </c>
      <c r="AI13" t="s">
        <v>8</v>
      </c>
      <c r="AJ13" t="s">
        <v>8</v>
      </c>
      <c r="AK13" t="s">
        <v>8</v>
      </c>
      <c r="AL13" t="s">
        <v>8</v>
      </c>
      <c r="AM13" t="s">
        <v>8</v>
      </c>
      <c r="AO13" s="2">
        <f t="shared" si="25"/>
        <v>40878</v>
      </c>
      <c r="AP13" t="s">
        <v>8</v>
      </c>
      <c r="AQ13" s="4">
        <f t="shared" si="20"/>
        <v>0.16186465507947309</v>
      </c>
      <c r="AR13" s="4">
        <f t="shared" si="12"/>
        <v>0.14316716123613019</v>
      </c>
      <c r="AS13" s="4">
        <f t="shared" si="13"/>
        <v>0.16282835815321295</v>
      </c>
      <c r="AT13" s="4">
        <f t="shared" si="14"/>
        <v>0.16143139098900505</v>
      </c>
      <c r="AU13" s="4">
        <f t="shared" si="15"/>
        <v>0.17368920307483621</v>
      </c>
      <c r="AV13" s="4">
        <f t="shared" si="16"/>
        <v>0.17316797188285726</v>
      </c>
      <c r="AW13" s="4">
        <f t="shared" si="17"/>
        <v>0.14427976718846733</v>
      </c>
    </row>
    <row r="14" spans="1:49" x14ac:dyDescent="0.3">
      <c r="A14" s="2">
        <f t="shared" si="21"/>
        <v>37226</v>
      </c>
      <c r="B14">
        <v>-5.6353903999184503E-2</v>
      </c>
      <c r="C14">
        <v>-0.13316739462306679</v>
      </c>
      <c r="D14">
        <v>-2.9340840040463601E-2</v>
      </c>
      <c r="E14">
        <v>-0.13953189882195879</v>
      </c>
      <c r="F14">
        <v>-5.6322164259903218E-2</v>
      </c>
      <c r="G14">
        <v>0.3573828740257588</v>
      </c>
      <c r="H14">
        <v>2.847068328100544E-3</v>
      </c>
      <c r="I14">
        <v>0.1077509358499289</v>
      </c>
      <c r="K14" s="2">
        <f t="shared" si="22"/>
        <v>37226</v>
      </c>
      <c r="L14" t="s">
        <v>8</v>
      </c>
      <c r="M14">
        <f t="shared" si="18"/>
        <v>7.6813490623882291E-2</v>
      </c>
      <c r="N14">
        <f t="shared" si="0"/>
        <v>2.7013063958720902E-2</v>
      </c>
      <c r="O14">
        <f t="shared" si="1"/>
        <v>8.3177994822774298E-2</v>
      </c>
      <c r="P14">
        <f t="shared" si="2"/>
        <v>3.1739739281284873E-5</v>
      </c>
      <c r="Q14">
        <f t="shared" si="3"/>
        <v>0.4137367780249433</v>
      </c>
      <c r="R14">
        <f t="shared" si="4"/>
        <v>5.9200972327285044E-2</v>
      </c>
      <c r="S14">
        <f t="shared" si="5"/>
        <v>0.16410483984911339</v>
      </c>
      <c r="U14" s="2">
        <f t="shared" si="23"/>
        <v>37226</v>
      </c>
      <c r="V14" t="s">
        <v>8</v>
      </c>
      <c r="W14">
        <f t="shared" si="19"/>
        <v>5.9003123418252526E-3</v>
      </c>
      <c r="X14">
        <f t="shared" si="6"/>
        <v>7.297056244379461E-4</v>
      </c>
      <c r="Y14">
        <f t="shared" si="7"/>
        <v>6.9185788227374683E-3</v>
      </c>
      <c r="Z14">
        <f t="shared" si="8"/>
        <v>1.0074110496439381E-9</v>
      </c>
      <c r="AA14">
        <f t="shared" si="9"/>
        <v>0.17117812149046122</v>
      </c>
      <c r="AB14">
        <f t="shared" si="10"/>
        <v>3.5047551244959695E-3</v>
      </c>
      <c r="AC14">
        <f t="shared" si="11"/>
        <v>2.6930398461903156E-2</v>
      </c>
      <c r="AE14" s="2">
        <f t="shared" si="24"/>
        <v>37226</v>
      </c>
      <c r="AF14" t="s">
        <v>8</v>
      </c>
      <c r="AG14">
        <f>SQRT(AVERAGE(W3:W14))</f>
        <v>0.24644691823493084</v>
      </c>
      <c r="AH14">
        <f t="shared" ref="AH14:AM14" si="26">SQRT(AVERAGE(X3:X14))</f>
        <v>0.2304092316430017</v>
      </c>
      <c r="AI14">
        <f t="shared" si="26"/>
        <v>0.24318497887315188</v>
      </c>
      <c r="AJ14">
        <f t="shared" si="26"/>
        <v>0.33130810342191136</v>
      </c>
      <c r="AK14">
        <f t="shared" si="26"/>
        <v>0.3412594223154326</v>
      </c>
      <c r="AL14">
        <f t="shared" si="26"/>
        <v>0.28662742109768774</v>
      </c>
      <c r="AM14">
        <f t="shared" si="26"/>
        <v>0.2504732694851301</v>
      </c>
      <c r="AO14" s="2">
        <f t="shared" si="25"/>
        <v>41244</v>
      </c>
      <c r="AP14" t="s">
        <v>8</v>
      </c>
      <c r="AQ14" s="4">
        <f t="shared" si="20"/>
        <v>0.19948669103154726</v>
      </c>
      <c r="AR14" s="4">
        <f t="shared" si="12"/>
        <v>0.21785203788243698</v>
      </c>
      <c r="AS14" s="4">
        <f t="shared" si="13"/>
        <v>0.20097406090891728</v>
      </c>
      <c r="AT14" s="4">
        <f t="shared" si="14"/>
        <v>0.25915330732319491</v>
      </c>
      <c r="AU14" s="4">
        <f t="shared" si="15"/>
        <v>0.29494353931930006</v>
      </c>
      <c r="AV14" s="4">
        <f t="shared" si="16"/>
        <v>0.29395083051641541</v>
      </c>
      <c r="AW14" s="4">
        <f t="shared" si="17"/>
        <v>0.20793039520280657</v>
      </c>
    </row>
    <row r="15" spans="1:49" x14ac:dyDescent="0.3">
      <c r="A15" s="2">
        <f t="shared" si="21"/>
        <v>37257</v>
      </c>
      <c r="B15">
        <v>0.1689665285127262</v>
      </c>
      <c r="C15">
        <v>1.180595270834846E-2</v>
      </c>
      <c r="D15">
        <v>-8.5991329668178337E-2</v>
      </c>
      <c r="E15">
        <v>5.748951864232299E-4</v>
      </c>
      <c r="F15">
        <v>-5.6353903999184503E-2</v>
      </c>
      <c r="G15">
        <v>0.35656196772015381</v>
      </c>
      <c r="H15">
        <v>3.402792971246206E-2</v>
      </c>
      <c r="I15">
        <v>0.1289209040530081</v>
      </c>
      <c r="K15" s="2">
        <f t="shared" si="22"/>
        <v>37257</v>
      </c>
      <c r="L15" t="s">
        <v>8</v>
      </c>
      <c r="M15">
        <f t="shared" si="18"/>
        <v>0.15716057580437773</v>
      </c>
      <c r="N15">
        <f t="shared" si="0"/>
        <v>0.25495785818090455</v>
      </c>
      <c r="O15">
        <f t="shared" si="1"/>
        <v>0.16839163332630297</v>
      </c>
      <c r="P15">
        <f t="shared" si="2"/>
        <v>0.2253204325119107</v>
      </c>
      <c r="Q15">
        <f t="shared" si="3"/>
        <v>0.18759543920742761</v>
      </c>
      <c r="R15">
        <f t="shared" si="4"/>
        <v>0.13493859880026415</v>
      </c>
      <c r="S15">
        <f t="shared" si="5"/>
        <v>4.0045624459718099E-2</v>
      </c>
      <c r="U15" s="2">
        <f t="shared" si="23"/>
        <v>37257</v>
      </c>
      <c r="V15" t="s">
        <v>8</v>
      </c>
      <c r="W15">
        <f t="shared" si="19"/>
        <v>2.4699446587163557E-2</v>
      </c>
      <c r="X15">
        <f t="shared" si="6"/>
        <v>6.5003509448194233E-2</v>
      </c>
      <c r="Y15">
        <f t="shared" si="7"/>
        <v>2.8355742174300071E-2</v>
      </c>
      <c r="Z15">
        <f t="shared" si="8"/>
        <v>5.0769297307354501E-2</v>
      </c>
      <c r="AA15">
        <f t="shared" si="9"/>
        <v>3.5192048811427665E-2</v>
      </c>
      <c r="AB15">
        <f t="shared" si="10"/>
        <v>1.820842544617865E-2</v>
      </c>
      <c r="AC15">
        <f t="shared" si="11"/>
        <v>1.6036520383687725E-3</v>
      </c>
      <c r="AE15" s="2">
        <f t="shared" si="24"/>
        <v>37257</v>
      </c>
      <c r="AF15" t="s">
        <v>8</v>
      </c>
      <c r="AG15">
        <f t="shared" ref="AG15:AM15" si="27">SQRT(AVERAGE(W4:W15))</f>
        <v>0.22442713221174321</v>
      </c>
      <c r="AH15">
        <f t="shared" si="27"/>
        <v>0.22476949704615268</v>
      </c>
      <c r="AI15">
        <f t="shared" si="27"/>
        <v>0.22075884645499591</v>
      </c>
      <c r="AJ15">
        <f t="shared" si="27"/>
        <v>0.32289830222422522</v>
      </c>
      <c r="AK15">
        <f t="shared" si="27"/>
        <v>0.34021733535390591</v>
      </c>
      <c r="AL15">
        <f t="shared" si="27"/>
        <v>0.27057438260072408</v>
      </c>
      <c r="AM15">
        <f t="shared" si="27"/>
        <v>0.23534029227915168</v>
      </c>
      <c r="AO15" s="2">
        <f t="shared" si="25"/>
        <v>41609</v>
      </c>
      <c r="AP15" t="s">
        <v>8</v>
      </c>
      <c r="AQ15" s="4">
        <f t="shared" si="20"/>
        <v>0.21712308911036293</v>
      </c>
      <c r="AR15" s="4">
        <f t="shared" si="12"/>
        <v>0.21113691650306429</v>
      </c>
      <c r="AS15" s="4">
        <f t="shared" si="13"/>
        <v>0.22100243187470894</v>
      </c>
      <c r="AT15" s="4">
        <f t="shared" si="14"/>
        <v>0.29067055097388417</v>
      </c>
      <c r="AU15" s="4">
        <f t="shared" si="15"/>
        <v>0.28827544247037595</v>
      </c>
      <c r="AV15" s="4">
        <f t="shared" si="16"/>
        <v>0.26605894538430919</v>
      </c>
      <c r="AW15" s="4">
        <f t="shared" si="17"/>
        <v>0.21940332180339892</v>
      </c>
    </row>
    <row r="16" spans="1:49" x14ac:dyDescent="0.3">
      <c r="A16" s="2">
        <f t="shared" si="21"/>
        <v>37288</v>
      </c>
      <c r="B16">
        <v>0.1686815131479058</v>
      </c>
      <c r="C16">
        <v>0.2186367423597142</v>
      </c>
      <c r="D16">
        <v>0.1918434817041868</v>
      </c>
      <c r="E16">
        <v>0.21654511306446941</v>
      </c>
      <c r="F16">
        <v>0.1689665285127262</v>
      </c>
      <c r="G16">
        <v>0.35619049160291127</v>
      </c>
      <c r="H16">
        <v>5.1617838133196883E-2</v>
      </c>
      <c r="I16">
        <v>0.2488853626664552</v>
      </c>
      <c r="K16" s="2">
        <f t="shared" si="22"/>
        <v>37288</v>
      </c>
      <c r="L16" t="s">
        <v>8</v>
      </c>
      <c r="M16">
        <f t="shared" si="18"/>
        <v>4.9955229211808394E-2</v>
      </c>
      <c r="N16">
        <f t="shared" si="0"/>
        <v>2.3161968556280998E-2</v>
      </c>
      <c r="O16">
        <f t="shared" si="1"/>
        <v>4.7863599916563609E-2</v>
      </c>
      <c r="P16">
        <f t="shared" si="2"/>
        <v>2.8501536482039569E-4</v>
      </c>
      <c r="Q16">
        <f t="shared" si="3"/>
        <v>0.18750897845500547</v>
      </c>
      <c r="R16">
        <f t="shared" si="4"/>
        <v>0.11706367501470892</v>
      </c>
      <c r="S16">
        <f t="shared" si="5"/>
        <v>8.0203849518549392E-2</v>
      </c>
      <c r="U16" s="2">
        <f t="shared" si="23"/>
        <v>37288</v>
      </c>
      <c r="V16" t="s">
        <v>8</v>
      </c>
      <c r="W16">
        <f t="shared" si="19"/>
        <v>2.4955249256043148E-3</v>
      </c>
      <c r="X16">
        <f t="shared" si="6"/>
        <v>5.364767874021497E-4</v>
      </c>
      <c r="Y16">
        <f t="shared" si="7"/>
        <v>2.2909241969728679E-3</v>
      </c>
      <c r="Z16">
        <f t="shared" si="8"/>
        <v>8.1233758183703242E-8</v>
      </c>
      <c r="AA16">
        <f t="shared" si="9"/>
        <v>3.5159617001239707E-2</v>
      </c>
      <c r="AB16">
        <f t="shared" si="10"/>
        <v>1.3703904007949385E-2</v>
      </c>
      <c r="AC16">
        <f t="shared" si="11"/>
        <v>6.4326574775941158E-3</v>
      </c>
      <c r="AE16" s="2">
        <f t="shared" si="24"/>
        <v>37288</v>
      </c>
      <c r="AF16" t="s">
        <v>8</v>
      </c>
      <c r="AG16">
        <f t="shared" ref="AG16:AM16" si="28">SQRT(AVERAGE(W5:W16))</f>
        <v>0.22150586942433081</v>
      </c>
      <c r="AH16">
        <f t="shared" si="28"/>
        <v>0.22158563841132672</v>
      </c>
      <c r="AI16">
        <f t="shared" si="28"/>
        <v>0.21770321624257266</v>
      </c>
      <c r="AJ16">
        <f t="shared" si="28"/>
        <v>0.30728893203348279</v>
      </c>
      <c r="AK16">
        <f t="shared" si="28"/>
        <v>0.34228775144743095</v>
      </c>
      <c r="AL16">
        <f t="shared" si="28"/>
        <v>0.27235360470665937</v>
      </c>
      <c r="AM16">
        <f t="shared" si="28"/>
        <v>0.23244385912157389</v>
      </c>
      <c r="AO16" s="2">
        <f t="shared" si="25"/>
        <v>41974</v>
      </c>
      <c r="AP16" t="s">
        <v>8</v>
      </c>
      <c r="AQ16" s="4">
        <f t="shared" si="20"/>
        <v>0.11370792840935082</v>
      </c>
      <c r="AR16" s="4">
        <f t="shared" si="12"/>
        <v>0.13622830140609601</v>
      </c>
      <c r="AS16" s="4">
        <f t="shared" si="13"/>
        <v>0.11511505718953238</v>
      </c>
      <c r="AT16" s="4">
        <f t="shared" si="14"/>
        <v>8.7362378052289982E-2</v>
      </c>
      <c r="AU16" s="4">
        <f t="shared" si="15"/>
        <v>0.30913176895988215</v>
      </c>
      <c r="AV16" s="4">
        <f t="shared" si="16"/>
        <v>0.17255008855958662</v>
      </c>
      <c r="AW16" s="4">
        <f t="shared" si="17"/>
        <v>0.15191436013294807</v>
      </c>
    </row>
    <row r="17" spans="1:49" x14ac:dyDescent="0.3">
      <c r="A17" s="2">
        <f t="shared" si="21"/>
        <v>37316</v>
      </c>
      <c r="B17">
        <v>0.28050509276082991</v>
      </c>
      <c r="C17">
        <v>0.1212568309019645</v>
      </c>
      <c r="D17">
        <v>8.913450793120159E-2</v>
      </c>
      <c r="E17">
        <v>0.1238224104130958</v>
      </c>
      <c r="F17">
        <v>0.1686815131479058</v>
      </c>
      <c r="G17">
        <v>0.35581992049924532</v>
      </c>
      <c r="H17">
        <v>7.5176620752932993E-2</v>
      </c>
      <c r="I17">
        <v>0.18874100828791601</v>
      </c>
      <c r="K17" s="2">
        <f t="shared" si="22"/>
        <v>37316</v>
      </c>
      <c r="L17" t="s">
        <v>8</v>
      </c>
      <c r="M17">
        <f t="shared" si="18"/>
        <v>0.15924826185886543</v>
      </c>
      <c r="N17">
        <f t="shared" si="0"/>
        <v>0.19137058482962832</v>
      </c>
      <c r="O17">
        <f t="shared" si="1"/>
        <v>0.15668268234773411</v>
      </c>
      <c r="P17">
        <f t="shared" si="2"/>
        <v>0.11182357961292411</v>
      </c>
      <c r="Q17">
        <f t="shared" si="3"/>
        <v>7.5314827738415413E-2</v>
      </c>
      <c r="R17">
        <f t="shared" si="4"/>
        <v>0.20532847200789692</v>
      </c>
      <c r="S17">
        <f t="shared" si="5"/>
        <v>9.1764084472913898E-2</v>
      </c>
      <c r="U17" s="2">
        <f t="shared" si="23"/>
        <v>37316</v>
      </c>
      <c r="V17" t="s">
        <v>8</v>
      </c>
      <c r="W17">
        <f t="shared" si="19"/>
        <v>2.5360008905069772E-2</v>
      </c>
      <c r="X17">
        <f t="shared" si="6"/>
        <v>3.6622700738033968E-2</v>
      </c>
      <c r="Y17">
        <f t="shared" si="7"/>
        <v>2.4549462947680949E-2</v>
      </c>
      <c r="Z17">
        <f t="shared" si="8"/>
        <v>1.2504512957447976E-2</v>
      </c>
      <c r="AA17">
        <f t="shared" si="9"/>
        <v>5.6723232772671875E-3</v>
      </c>
      <c r="AB17">
        <f t="shared" si="10"/>
        <v>4.2159781417097711E-2</v>
      </c>
      <c r="AC17">
        <f t="shared" si="11"/>
        <v>8.4206471991520784E-3</v>
      </c>
      <c r="AE17" s="2">
        <f t="shared" si="24"/>
        <v>37316</v>
      </c>
      <c r="AF17" t="s">
        <v>8</v>
      </c>
      <c r="AG17">
        <f t="shared" ref="AG17:AM17" si="29">SQRT(AVERAGE(W6:W17))</f>
        <v>0.21195933943248343</v>
      </c>
      <c r="AH17">
        <f t="shared" si="29"/>
        <v>0.21012883394089824</v>
      </c>
      <c r="AI17">
        <f t="shared" si="29"/>
        <v>0.20706693572541862</v>
      </c>
      <c r="AJ17">
        <f t="shared" si="29"/>
        <v>0.30502375035145174</v>
      </c>
      <c r="AK17">
        <f t="shared" si="29"/>
        <v>0.33145511934156086</v>
      </c>
      <c r="AL17">
        <f t="shared" si="29"/>
        <v>0.26325932316344802</v>
      </c>
      <c r="AM17">
        <f t="shared" si="29"/>
        <v>0.22104512536570292</v>
      </c>
      <c r="AO17" s="2">
        <f t="shared" si="25"/>
        <v>42339</v>
      </c>
      <c r="AP17" t="s">
        <v>8</v>
      </c>
      <c r="AQ17" s="4">
        <f t="shared" si="20"/>
        <v>0.23605015256801076</v>
      </c>
      <c r="AR17" s="4">
        <f t="shared" si="12"/>
        <v>0.24945425791464348</v>
      </c>
      <c r="AS17" s="4">
        <f t="shared" si="13"/>
        <v>0.23914007459108699</v>
      </c>
      <c r="AT17" s="4">
        <f t="shared" si="14"/>
        <v>0.32046282675407306</v>
      </c>
      <c r="AU17" s="4">
        <f t="shared" si="15"/>
        <v>0.36895192014615757</v>
      </c>
      <c r="AV17" s="4">
        <f t="shared" si="16"/>
        <v>0.32999724180965245</v>
      </c>
      <c r="AW17" s="4">
        <f t="shared" si="17"/>
        <v>0.25802642119281288</v>
      </c>
    </row>
    <row r="18" spans="1:49" x14ac:dyDescent="0.3">
      <c r="A18" s="2">
        <f t="shared" si="21"/>
        <v>37347</v>
      </c>
      <c r="B18">
        <v>0.44717793913937598</v>
      </c>
      <c r="C18">
        <v>0.27609055933592141</v>
      </c>
      <c r="D18">
        <v>0.2195712135424695</v>
      </c>
      <c r="E18">
        <v>0.27545094876144999</v>
      </c>
      <c r="F18">
        <v>0.28050509276082991</v>
      </c>
      <c r="G18">
        <v>0.35567137054315379</v>
      </c>
      <c r="H18">
        <v>0.14686158925230691</v>
      </c>
      <c r="I18">
        <v>0.24611784495948619</v>
      </c>
      <c r="K18" s="2">
        <f t="shared" si="22"/>
        <v>37347</v>
      </c>
      <c r="L18" t="s">
        <v>8</v>
      </c>
      <c r="M18">
        <f t="shared" si="18"/>
        <v>0.17108737980345456</v>
      </c>
      <c r="N18">
        <f t="shared" si="0"/>
        <v>0.22760672559690648</v>
      </c>
      <c r="O18">
        <f t="shared" si="1"/>
        <v>0.17172699037792599</v>
      </c>
      <c r="P18">
        <f t="shared" si="2"/>
        <v>0.16667284637854607</v>
      </c>
      <c r="Q18">
        <f t="shared" si="3"/>
        <v>9.1506568596222193E-2</v>
      </c>
      <c r="R18">
        <f t="shared" si="4"/>
        <v>0.30031634988706907</v>
      </c>
      <c r="S18">
        <f t="shared" si="5"/>
        <v>0.20106009417988979</v>
      </c>
      <c r="U18" s="2">
        <f t="shared" si="23"/>
        <v>37347</v>
      </c>
      <c r="V18" t="s">
        <v>8</v>
      </c>
      <c r="W18">
        <f t="shared" si="19"/>
        <v>2.9270891528011513E-2</v>
      </c>
      <c r="X18">
        <f t="shared" si="6"/>
        <v>5.1804821536945482E-2</v>
      </c>
      <c r="Y18">
        <f t="shared" si="7"/>
        <v>2.9490159224260286E-2</v>
      </c>
      <c r="Z18">
        <f t="shared" si="8"/>
        <v>2.7779837719926419E-2</v>
      </c>
      <c r="AA18">
        <f t="shared" si="9"/>
        <v>8.3734520962551184E-3</v>
      </c>
      <c r="AB18">
        <f t="shared" si="10"/>
        <v>9.0189910009492488E-2</v>
      </c>
      <c r="AC18">
        <f t="shared" si="11"/>
        <v>4.0425161471626156E-2</v>
      </c>
      <c r="AE18" s="2">
        <f t="shared" si="24"/>
        <v>37347</v>
      </c>
      <c r="AF18" t="s">
        <v>8</v>
      </c>
      <c r="AG18">
        <f t="shared" ref="AG18:AM18" si="30">SQRT(AVERAGE(W7:W18))</f>
        <v>0.21763085127378382</v>
      </c>
      <c r="AH18">
        <f t="shared" si="30"/>
        <v>0.22012756225960786</v>
      </c>
      <c r="AI18">
        <f t="shared" si="30"/>
        <v>0.21291809179834262</v>
      </c>
      <c r="AJ18">
        <f t="shared" si="30"/>
        <v>0.30705478561512239</v>
      </c>
      <c r="AK18">
        <f t="shared" si="30"/>
        <v>0.32788590796841682</v>
      </c>
      <c r="AL18">
        <f t="shared" si="30"/>
        <v>0.27393010807012086</v>
      </c>
      <c r="AM18">
        <f t="shared" si="30"/>
        <v>0.22683599623642903</v>
      </c>
    </row>
    <row r="19" spans="1:49" x14ac:dyDescent="0.3">
      <c r="A19" s="2">
        <f t="shared" si="21"/>
        <v>37377</v>
      </c>
      <c r="B19">
        <v>0.1114827317246103</v>
      </c>
      <c r="C19">
        <v>0.24376030062620979</v>
      </c>
      <c r="D19">
        <v>0.26539165055345598</v>
      </c>
      <c r="E19">
        <v>0.24776358482266819</v>
      </c>
      <c r="F19">
        <v>0.44717793913937598</v>
      </c>
      <c r="G19">
        <v>0.35585150158369749</v>
      </c>
      <c r="H19">
        <v>0.2190032574206994</v>
      </c>
      <c r="I19">
        <v>0.2803866265451026</v>
      </c>
      <c r="K19" s="2">
        <f t="shared" si="22"/>
        <v>37377</v>
      </c>
      <c r="L19" t="s">
        <v>8</v>
      </c>
      <c r="M19">
        <f t="shared" si="18"/>
        <v>0.13227756890159947</v>
      </c>
      <c r="N19">
        <f t="shared" si="0"/>
        <v>0.15390891882884566</v>
      </c>
      <c r="O19">
        <f t="shared" si="1"/>
        <v>0.13628085309805787</v>
      </c>
      <c r="P19">
        <f t="shared" si="2"/>
        <v>0.33569520741476566</v>
      </c>
      <c r="Q19">
        <f t="shared" si="3"/>
        <v>0.24436876985908718</v>
      </c>
      <c r="R19">
        <f t="shared" si="4"/>
        <v>0.10752052569608909</v>
      </c>
      <c r="S19">
        <f t="shared" si="5"/>
        <v>0.16890389482049228</v>
      </c>
      <c r="U19" s="2">
        <f t="shared" si="23"/>
        <v>37377</v>
      </c>
      <c r="V19" t="s">
        <v>8</v>
      </c>
      <c r="W19">
        <f t="shared" si="19"/>
        <v>1.7497355234517398E-2</v>
      </c>
      <c r="X19">
        <f t="shared" si="6"/>
        <v>2.3687955295064202E-2</v>
      </c>
      <c r="Y19">
        <f t="shared" si="7"/>
        <v>1.857247092113443E-2</v>
      </c>
      <c r="Z19">
        <f t="shared" si="8"/>
        <v>0.11269127228124254</v>
      </c>
      <c r="AA19">
        <f t="shared" si="9"/>
        <v>5.9716095682443515E-2</v>
      </c>
      <c r="AB19">
        <f t="shared" si="10"/>
        <v>1.1560663445963355E-2</v>
      </c>
      <c r="AC19">
        <f t="shared" si="11"/>
        <v>2.8528525685531922E-2</v>
      </c>
      <c r="AE19" s="2">
        <f t="shared" si="24"/>
        <v>37377</v>
      </c>
      <c r="AF19" t="s">
        <v>8</v>
      </c>
      <c r="AG19">
        <f t="shared" ref="AG19:AM19" si="31">SQRT(AVERAGE(W8:W19))</f>
        <v>0.20400205675729205</v>
      </c>
      <c r="AH19">
        <f t="shared" si="31"/>
        <v>0.20798200574469844</v>
      </c>
      <c r="AI19">
        <f t="shared" si="31"/>
        <v>0.19935288554945463</v>
      </c>
      <c r="AJ19">
        <f t="shared" si="31"/>
        <v>0.30678022069802752</v>
      </c>
      <c r="AK19">
        <f t="shared" si="31"/>
        <v>0.33266610854668582</v>
      </c>
      <c r="AL19">
        <f t="shared" si="31"/>
        <v>0.26275183632711951</v>
      </c>
      <c r="AM19">
        <f t="shared" si="31"/>
        <v>0.22260381832679518</v>
      </c>
    </row>
    <row r="20" spans="1:49" x14ac:dyDescent="0.3">
      <c r="A20" s="2">
        <f t="shared" si="21"/>
        <v>37408</v>
      </c>
      <c r="B20">
        <v>5.5694793976623913E-2</v>
      </c>
      <c r="C20">
        <v>0.1963870788627036</v>
      </c>
      <c r="D20">
        <v>0.2173914111940447</v>
      </c>
      <c r="E20">
        <v>0.1896755863830214</v>
      </c>
      <c r="F20">
        <v>0.1114827317246103</v>
      </c>
      <c r="G20">
        <v>0.35537140576865017</v>
      </c>
      <c r="H20">
        <v>0.33357433896248218</v>
      </c>
      <c r="I20">
        <v>0.22093625408036549</v>
      </c>
      <c r="K20" s="2">
        <f t="shared" si="22"/>
        <v>37408</v>
      </c>
      <c r="L20" t="s">
        <v>8</v>
      </c>
      <c r="M20">
        <f t="shared" si="18"/>
        <v>0.14069228488607968</v>
      </c>
      <c r="N20">
        <f t="shared" si="0"/>
        <v>0.16169661721742079</v>
      </c>
      <c r="O20">
        <f t="shared" si="1"/>
        <v>0.13398079240639749</v>
      </c>
      <c r="P20">
        <f t="shared" si="2"/>
        <v>5.5787937747986391E-2</v>
      </c>
      <c r="Q20">
        <f t="shared" si="3"/>
        <v>0.29967661179202626</v>
      </c>
      <c r="R20">
        <f t="shared" si="4"/>
        <v>0.27787954498585826</v>
      </c>
      <c r="S20">
        <f t="shared" si="5"/>
        <v>0.16524146010374158</v>
      </c>
      <c r="U20" s="2">
        <f t="shared" si="23"/>
        <v>37408</v>
      </c>
      <c r="V20" t="s">
        <v>8</v>
      </c>
      <c r="W20">
        <f t="shared" si="19"/>
        <v>1.9794319026465806E-2</v>
      </c>
      <c r="X20">
        <f t="shared" si="6"/>
        <v>2.6145796019557101E-2</v>
      </c>
      <c r="Y20">
        <f t="shared" si="7"/>
        <v>1.7950852733846178E-2</v>
      </c>
      <c r="Z20">
        <f t="shared" si="8"/>
        <v>3.112293998173205E-3</v>
      </c>
      <c r="AA20">
        <f t="shared" si="9"/>
        <v>8.9806071655148811E-2</v>
      </c>
      <c r="AB20">
        <f t="shared" si="10"/>
        <v>7.7217041521547625E-2</v>
      </c>
      <c r="AC20">
        <f t="shared" si="11"/>
        <v>2.730474013721642E-2</v>
      </c>
      <c r="AE20" s="2">
        <f t="shared" si="24"/>
        <v>37408</v>
      </c>
      <c r="AF20" t="s">
        <v>8</v>
      </c>
      <c r="AG20">
        <f t="shared" ref="AG20:AM20" si="32">SQRT(AVERAGE(W9:W20))</f>
        <v>0.20751048677883691</v>
      </c>
      <c r="AH20">
        <f t="shared" si="32"/>
        <v>0.21195060428648693</v>
      </c>
      <c r="AI20">
        <f t="shared" si="32"/>
        <v>0.20255390111012081</v>
      </c>
      <c r="AJ20">
        <f t="shared" si="32"/>
        <v>0.29609658441507319</v>
      </c>
      <c r="AK20">
        <f t="shared" si="32"/>
        <v>0.34147703136777724</v>
      </c>
      <c r="AL20">
        <f t="shared" si="32"/>
        <v>0.27468922746642205</v>
      </c>
      <c r="AM20">
        <f t="shared" si="32"/>
        <v>0.22652317751722725</v>
      </c>
      <c r="AQ20">
        <v>0.23</v>
      </c>
      <c r="AR20">
        <v>0.11</v>
      </c>
      <c r="AS20">
        <v>0.14000000000000001</v>
      </c>
      <c r="AT20">
        <v>0.11</v>
      </c>
      <c r="AU20">
        <v>0.15</v>
      </c>
      <c r="AV20">
        <v>0.18</v>
      </c>
      <c r="AW20">
        <v>0.15</v>
      </c>
    </row>
    <row r="21" spans="1:49" x14ac:dyDescent="0.3">
      <c r="A21" s="2">
        <f t="shared" si="21"/>
        <v>37438</v>
      </c>
      <c r="B21">
        <v>0.22246950221109779</v>
      </c>
      <c r="C21">
        <v>0.1688310933732261</v>
      </c>
      <c r="D21">
        <v>0.1578827455662957</v>
      </c>
      <c r="E21">
        <v>0.16921935448395739</v>
      </c>
      <c r="F21">
        <v>5.5694793976623913E-2</v>
      </c>
      <c r="G21">
        <v>0.354783804569058</v>
      </c>
      <c r="H21">
        <v>0.24494005059946919</v>
      </c>
      <c r="I21">
        <v>0.2192702467306902</v>
      </c>
      <c r="K21" s="2">
        <f t="shared" si="22"/>
        <v>37438</v>
      </c>
      <c r="L21" t="s">
        <v>8</v>
      </c>
      <c r="M21">
        <f t="shared" si="18"/>
        <v>5.3638408837871687E-2</v>
      </c>
      <c r="N21">
        <f t="shared" si="0"/>
        <v>6.4586756644802096E-2</v>
      </c>
      <c r="O21">
        <f t="shared" si="1"/>
        <v>5.3250147727140401E-2</v>
      </c>
      <c r="P21">
        <f t="shared" si="2"/>
        <v>0.16677470823447388</v>
      </c>
      <c r="Q21">
        <f t="shared" si="3"/>
        <v>0.13231430235796021</v>
      </c>
      <c r="R21">
        <f t="shared" si="4"/>
        <v>2.2470548388371397E-2</v>
      </c>
      <c r="S21">
        <f t="shared" si="5"/>
        <v>3.1992554804075868E-3</v>
      </c>
      <c r="U21" s="2">
        <f t="shared" si="23"/>
        <v>37438</v>
      </c>
      <c r="V21" t="s">
        <v>8</v>
      </c>
      <c r="W21">
        <f t="shared" si="19"/>
        <v>2.8770789026586717E-3</v>
      </c>
      <c r="X21">
        <f t="shared" si="6"/>
        <v>4.171449133894888E-3</v>
      </c>
      <c r="Y21">
        <f t="shared" si="7"/>
        <v>2.8355782329622758E-3</v>
      </c>
      <c r="Z21">
        <f t="shared" si="8"/>
        <v>2.7813803306693891E-2</v>
      </c>
      <c r="AA21">
        <f t="shared" si="9"/>
        <v>1.7507074608473717E-2</v>
      </c>
      <c r="AB21">
        <f t="shared" si="10"/>
        <v>5.0492554487414042E-4</v>
      </c>
      <c r="AC21">
        <f t="shared" si="11"/>
        <v>1.023523562891798E-5</v>
      </c>
      <c r="AE21" s="2">
        <f t="shared" si="24"/>
        <v>37438</v>
      </c>
      <c r="AF21" t="s">
        <v>8</v>
      </c>
      <c r="AG21">
        <f t="shared" ref="AG21:AM21" si="33">SQRT(AVERAGE(W10:W21))</f>
        <v>0.18387976933849964</v>
      </c>
      <c r="AH21">
        <f t="shared" si="33"/>
        <v>0.18766194584145318</v>
      </c>
      <c r="AI21">
        <f t="shared" si="33"/>
        <v>0.1790263903617258</v>
      </c>
      <c r="AJ21">
        <f t="shared" si="33"/>
        <v>0.27754951284020263</v>
      </c>
      <c r="AK21">
        <f t="shared" si="33"/>
        <v>0.30764051892701599</v>
      </c>
      <c r="AL21">
        <f t="shared" si="33"/>
        <v>0.23357153755634424</v>
      </c>
      <c r="AM21">
        <f t="shared" si="33"/>
        <v>0.19675267895852239</v>
      </c>
    </row>
    <row r="22" spans="1:49" x14ac:dyDescent="0.3">
      <c r="A22" s="2">
        <f t="shared" si="21"/>
        <v>37469</v>
      </c>
      <c r="B22">
        <v>0.2773926882725597</v>
      </c>
      <c r="C22">
        <v>0.1882109033632843</v>
      </c>
      <c r="D22">
        <v>0.200018575758</v>
      </c>
      <c r="E22">
        <v>0.18952936433667941</v>
      </c>
      <c r="F22">
        <v>0.22246950221109779</v>
      </c>
      <c r="G22">
        <v>0.35452487247051012</v>
      </c>
      <c r="H22">
        <v>0.19705565552841101</v>
      </c>
      <c r="I22">
        <v>0.2341638829659074</v>
      </c>
      <c r="K22" s="2">
        <f t="shared" si="22"/>
        <v>37469</v>
      </c>
      <c r="L22" t="s">
        <v>8</v>
      </c>
      <c r="M22">
        <f t="shared" si="18"/>
        <v>8.9181784909275391E-2</v>
      </c>
      <c r="N22">
        <f t="shared" si="0"/>
        <v>7.7374112514559695E-2</v>
      </c>
      <c r="O22">
        <f t="shared" si="1"/>
        <v>8.7863323935880283E-2</v>
      </c>
      <c r="P22">
        <f t="shared" si="2"/>
        <v>5.4923186061461904E-2</v>
      </c>
      <c r="Q22">
        <f t="shared" si="3"/>
        <v>7.7132184197950426E-2</v>
      </c>
      <c r="R22">
        <f t="shared" si="4"/>
        <v>8.033703274414869E-2</v>
      </c>
      <c r="S22">
        <f t="shared" si="5"/>
        <v>4.3228805306652296E-2</v>
      </c>
      <c r="U22" s="2">
        <f t="shared" si="23"/>
        <v>37469</v>
      </c>
      <c r="V22" t="s">
        <v>8</v>
      </c>
      <c r="W22">
        <f t="shared" si="19"/>
        <v>7.9533907596042591E-3</v>
      </c>
      <c r="X22">
        <f t="shared" si="6"/>
        <v>5.9867532874157432E-3</v>
      </c>
      <c r="Y22">
        <f t="shared" si="7"/>
        <v>7.7199636930614327E-3</v>
      </c>
      <c r="Z22">
        <f t="shared" si="8"/>
        <v>3.0165563671419632E-3</v>
      </c>
      <c r="AA22">
        <f t="shared" si="9"/>
        <v>5.9493738391465534E-3</v>
      </c>
      <c r="AB22">
        <f t="shared" si="10"/>
        <v>6.4540388301344192E-3</v>
      </c>
      <c r="AC22">
        <f t="shared" si="11"/>
        <v>1.8687296082404497E-3</v>
      </c>
      <c r="AE22" s="2">
        <f t="shared" si="24"/>
        <v>37469</v>
      </c>
      <c r="AF22" t="s">
        <v>8</v>
      </c>
      <c r="AG22">
        <f t="shared" ref="AG22:AM22" si="34">SQRT(AVERAGE(W11:W22))</f>
        <v>0.18512026314929816</v>
      </c>
      <c r="AH22">
        <f t="shared" si="34"/>
        <v>0.18775040665609458</v>
      </c>
      <c r="AI22">
        <f t="shared" si="34"/>
        <v>0.18029016386118893</v>
      </c>
      <c r="AJ22">
        <f t="shared" si="34"/>
        <v>0.27368955246524385</v>
      </c>
      <c r="AK22">
        <f t="shared" si="34"/>
        <v>0.29039694308055802</v>
      </c>
      <c r="AL22">
        <f t="shared" si="34"/>
        <v>0.22097666973479144</v>
      </c>
      <c r="AM22">
        <f t="shared" si="34"/>
        <v>0.19619262306070073</v>
      </c>
    </row>
    <row r="23" spans="1:49" x14ac:dyDescent="0.3">
      <c r="A23" s="2">
        <f t="shared" si="21"/>
        <v>37500</v>
      </c>
      <c r="B23">
        <v>0.1660670185140489</v>
      </c>
      <c r="C23">
        <v>0.20495957148477159</v>
      </c>
      <c r="D23">
        <v>0.2047856616052455</v>
      </c>
      <c r="E23">
        <v>0.20133669209481489</v>
      </c>
      <c r="F23">
        <v>0.2773926882725597</v>
      </c>
      <c r="G23">
        <v>0.3543742236732485</v>
      </c>
      <c r="H23">
        <v>0.2350419750131367</v>
      </c>
      <c r="I23">
        <v>0.23597035354143739</v>
      </c>
      <c r="K23" s="2">
        <f t="shared" si="22"/>
        <v>37500</v>
      </c>
      <c r="L23" t="s">
        <v>8</v>
      </c>
      <c r="M23">
        <f t="shared" si="18"/>
        <v>3.8892552970722694E-2</v>
      </c>
      <c r="N23">
        <f t="shared" si="0"/>
        <v>3.8718643091196603E-2</v>
      </c>
      <c r="O23">
        <f t="shared" si="1"/>
        <v>3.5269673580765992E-2</v>
      </c>
      <c r="P23">
        <f t="shared" si="2"/>
        <v>0.1113256697585108</v>
      </c>
      <c r="Q23">
        <f t="shared" si="3"/>
        <v>0.1883072051591996</v>
      </c>
      <c r="R23">
        <f t="shared" si="4"/>
        <v>6.8974956499087803E-2</v>
      </c>
      <c r="S23">
        <f t="shared" si="5"/>
        <v>6.9903335027388491E-2</v>
      </c>
      <c r="U23" s="2">
        <f t="shared" si="23"/>
        <v>37500</v>
      </c>
      <c r="V23" t="s">
        <v>8</v>
      </c>
      <c r="W23">
        <f t="shared" si="19"/>
        <v>1.5126306765804705E-3</v>
      </c>
      <c r="X23">
        <f t="shared" si="6"/>
        <v>1.4991333228234665E-3</v>
      </c>
      <c r="Y23">
        <f t="shared" si="7"/>
        <v>1.2439498744937826E-3</v>
      </c>
      <c r="Z23">
        <f t="shared" si="8"/>
        <v>1.2393404747181005E-2</v>
      </c>
      <c r="AA23">
        <f t="shared" si="9"/>
        <v>3.545960351486889E-2</v>
      </c>
      <c r="AB23">
        <f t="shared" si="10"/>
        <v>4.7575446240510546E-3</v>
      </c>
      <c r="AC23">
        <f t="shared" si="11"/>
        <v>4.886476247951319E-3</v>
      </c>
      <c r="AE23" s="2">
        <f t="shared" si="24"/>
        <v>37500</v>
      </c>
      <c r="AF23" t="s">
        <v>8</v>
      </c>
      <c r="AG23">
        <f t="shared" ref="AG23:AM23" si="35">SQRT(AVERAGE(W12:W23))</f>
        <v>0.16678544363052761</v>
      </c>
      <c r="AH23">
        <f t="shared" si="35"/>
        <v>0.17647647908119704</v>
      </c>
      <c r="AI23">
        <f t="shared" si="35"/>
        <v>0.16191475569524408</v>
      </c>
      <c r="AJ23">
        <f t="shared" si="35"/>
        <v>0.2510274111618816</v>
      </c>
      <c r="AK23">
        <f t="shared" si="35"/>
        <v>0.29527402875846148</v>
      </c>
      <c r="AL23">
        <f t="shared" si="35"/>
        <v>0.20671039346410683</v>
      </c>
      <c r="AM23">
        <f t="shared" si="35"/>
        <v>0.19063061606728854</v>
      </c>
    </row>
    <row r="24" spans="1:49" x14ac:dyDescent="0.3">
      <c r="A24" s="2">
        <f t="shared" si="21"/>
        <v>37530</v>
      </c>
      <c r="B24">
        <v>0.22099456508026799</v>
      </c>
      <c r="C24">
        <v>0.23003613092911249</v>
      </c>
      <c r="D24">
        <v>0.20679941191484541</v>
      </c>
      <c r="E24">
        <v>0.2277072271160108</v>
      </c>
      <c r="F24">
        <v>0.1660670185140489</v>
      </c>
      <c r="G24">
        <v>0.35400715309788938</v>
      </c>
      <c r="H24">
        <v>0.23567001456203149</v>
      </c>
      <c r="I24">
        <v>0.26142665937522819</v>
      </c>
      <c r="K24" s="2">
        <f t="shared" si="22"/>
        <v>37530</v>
      </c>
      <c r="L24" t="s">
        <v>8</v>
      </c>
      <c r="M24">
        <f t="shared" si="18"/>
        <v>9.0415658488444961E-3</v>
      </c>
      <c r="N24">
        <f t="shared" si="0"/>
        <v>1.419515316542258E-2</v>
      </c>
      <c r="O24">
        <f t="shared" si="1"/>
        <v>6.7126620357428057E-3</v>
      </c>
      <c r="P24">
        <f t="shared" si="2"/>
        <v>5.4927546566219093E-2</v>
      </c>
      <c r="Q24">
        <f t="shared" si="3"/>
        <v>0.13301258801762139</v>
      </c>
      <c r="R24">
        <f t="shared" si="4"/>
        <v>1.4675449481763497E-2</v>
      </c>
      <c r="S24">
        <f t="shared" si="5"/>
        <v>4.0432094294960197E-2</v>
      </c>
      <c r="U24" s="2">
        <f t="shared" si="23"/>
        <v>37530</v>
      </c>
      <c r="V24" t="s">
        <v>8</v>
      </c>
      <c r="W24">
        <f t="shared" si="19"/>
        <v>8.1749912998991099E-5</v>
      </c>
      <c r="X24">
        <f t="shared" si="6"/>
        <v>2.015023733898067E-4</v>
      </c>
      <c r="Y24">
        <f t="shared" si="7"/>
        <v>4.505983160610275E-5</v>
      </c>
      <c r="Z24">
        <f t="shared" si="8"/>
        <v>3.0170353717841668E-3</v>
      </c>
      <c r="AA24">
        <f t="shared" si="9"/>
        <v>1.7692348571145478E-2</v>
      </c>
      <c r="AB24">
        <f t="shared" si="10"/>
        <v>2.1536881749179251E-4</v>
      </c>
      <c r="AC24">
        <f t="shared" si="11"/>
        <v>1.634754249076553E-3</v>
      </c>
      <c r="AE24" s="2">
        <f t="shared" si="24"/>
        <v>37530</v>
      </c>
      <c r="AF24" t="s">
        <v>8</v>
      </c>
      <c r="AG24">
        <f t="shared" ref="AG24:AM24" si="36">SQRT(AVERAGE(W13:W24))</f>
        <v>0.10717012369993033</v>
      </c>
      <c r="AH24">
        <f t="shared" si="36"/>
        <v>0.14110790971981577</v>
      </c>
      <c r="AI24">
        <f t="shared" si="36"/>
        <v>0.10823667553479506</v>
      </c>
      <c r="AJ24">
        <f t="shared" si="36"/>
        <v>0.15907004359654134</v>
      </c>
      <c r="AK24">
        <f t="shared" si="36"/>
        <v>0.23337033307764149</v>
      </c>
      <c r="AL24">
        <f t="shared" si="36"/>
        <v>0.1702253298900071</v>
      </c>
      <c r="AM24">
        <f t="shared" si="36"/>
        <v>0.11666559802829307</v>
      </c>
    </row>
    <row r="25" spans="1:49" x14ac:dyDescent="0.3">
      <c r="A25" s="2">
        <f t="shared" si="21"/>
        <v>37561</v>
      </c>
      <c r="B25">
        <v>0.16542600960258719</v>
      </c>
      <c r="C25">
        <v>0.25218291067426007</v>
      </c>
      <c r="D25">
        <v>0.25807728077348729</v>
      </c>
      <c r="E25">
        <v>0.25904998155760428</v>
      </c>
      <c r="F25">
        <v>0.22099456508026799</v>
      </c>
      <c r="G25">
        <v>0.35374837374376961</v>
      </c>
      <c r="H25">
        <v>0.21374715334797831</v>
      </c>
      <c r="I25">
        <v>0.26807729299658523</v>
      </c>
      <c r="K25" s="2">
        <f t="shared" si="22"/>
        <v>37561</v>
      </c>
      <c r="L25" t="s">
        <v>8</v>
      </c>
      <c r="M25">
        <f t="shared" si="18"/>
        <v>8.6756901071672887E-2</v>
      </c>
      <c r="N25">
        <f t="shared" si="0"/>
        <v>9.2651271170900107E-2</v>
      </c>
      <c r="O25">
        <f t="shared" si="1"/>
        <v>9.3623971955017093E-2</v>
      </c>
      <c r="P25">
        <f t="shared" si="2"/>
        <v>5.5568555477680803E-2</v>
      </c>
      <c r="Q25">
        <f t="shared" si="3"/>
        <v>0.18832236414118242</v>
      </c>
      <c r="R25">
        <f t="shared" si="4"/>
        <v>4.8321143745391121E-2</v>
      </c>
      <c r="S25">
        <f t="shared" si="5"/>
        <v>0.10265128339399804</v>
      </c>
      <c r="U25" s="2">
        <f t="shared" si="23"/>
        <v>37561</v>
      </c>
      <c r="V25" t="s">
        <v>8</v>
      </c>
      <c r="W25">
        <f t="shared" si="19"/>
        <v>7.526759883560036E-3</v>
      </c>
      <c r="X25">
        <f t="shared" si="6"/>
        <v>8.5842580495836644E-3</v>
      </c>
      <c r="Y25">
        <f t="shared" si="7"/>
        <v>8.7654481246338279E-3</v>
      </c>
      <c r="Z25">
        <f t="shared" si="8"/>
        <v>3.0878643578760891E-3</v>
      </c>
      <c r="AA25">
        <f t="shared" si="9"/>
        <v>3.5465312835724107E-2</v>
      </c>
      <c r="AB25">
        <f t="shared" si="10"/>
        <v>2.3349329328627515E-3</v>
      </c>
      <c r="AC25">
        <f t="shared" si="11"/>
        <v>1.0537285982434898E-2</v>
      </c>
      <c r="AE25" s="2">
        <f t="shared" si="24"/>
        <v>37561</v>
      </c>
      <c r="AF25" t="s">
        <v>8</v>
      </c>
      <c r="AG25">
        <f t="shared" ref="AG25:AM25" si="37">SQRT(AVERAGE(W14:W25))</f>
        <v>0.10991264284423791</v>
      </c>
      <c r="AH25">
        <f t="shared" si="37"/>
        <v>0.13692274635012944</v>
      </c>
      <c r="AI25">
        <f t="shared" si="37"/>
        <v>0.11133215722096711</v>
      </c>
      <c r="AJ25">
        <f t="shared" si="37"/>
        <v>0.14611238843666172</v>
      </c>
      <c r="AK25">
        <f t="shared" si="37"/>
        <v>0.20759966349194026</v>
      </c>
      <c r="AL25">
        <f t="shared" si="37"/>
        <v>0.15022518977691993</v>
      </c>
      <c r="AM25">
        <f t="shared" si="37"/>
        <v>0.11495769649263911</v>
      </c>
    </row>
    <row r="26" spans="1:49" x14ac:dyDescent="0.3">
      <c r="A26" s="2">
        <f t="shared" si="21"/>
        <v>37591</v>
      </c>
      <c r="B26">
        <v>0.16515280384732381</v>
      </c>
      <c r="C26">
        <v>0.1828486941487506</v>
      </c>
      <c r="D26">
        <v>0.22928160303395009</v>
      </c>
      <c r="E26">
        <v>0.18254247689291281</v>
      </c>
      <c r="F26">
        <v>0.16542600960258719</v>
      </c>
      <c r="G26">
        <v>0.35338269925029148</v>
      </c>
      <c r="H26">
        <v>0.24357016244026319</v>
      </c>
      <c r="I26">
        <v>0.21875852543667251</v>
      </c>
      <c r="K26" s="2">
        <f t="shared" si="22"/>
        <v>37591</v>
      </c>
      <c r="L26" t="s">
        <v>8</v>
      </c>
      <c r="M26">
        <f t="shared" si="18"/>
        <v>1.7695890301426792E-2</v>
      </c>
      <c r="N26">
        <f t="shared" si="0"/>
        <v>6.4128799186626284E-2</v>
      </c>
      <c r="O26">
        <f t="shared" si="1"/>
        <v>1.7389673045588999E-2</v>
      </c>
      <c r="P26">
        <f t="shared" si="2"/>
        <v>2.732057552633782E-4</v>
      </c>
      <c r="Q26">
        <f t="shared" si="3"/>
        <v>0.18822989540296767</v>
      </c>
      <c r="R26">
        <f t="shared" si="4"/>
        <v>7.8417358592939385E-2</v>
      </c>
      <c r="S26">
        <f t="shared" si="5"/>
        <v>5.3605721589348704E-2</v>
      </c>
      <c r="U26" s="2">
        <f t="shared" si="23"/>
        <v>37591</v>
      </c>
      <c r="V26" t="s">
        <v>8</v>
      </c>
      <c r="W26">
        <f t="shared" si="19"/>
        <v>3.1314453356013082E-4</v>
      </c>
      <c r="X26">
        <f t="shared" si="6"/>
        <v>4.1125028851186404E-3</v>
      </c>
      <c r="Y26">
        <f t="shared" si="7"/>
        <v>3.0240072863248457E-4</v>
      </c>
      <c r="Z26">
        <f t="shared" si="8"/>
        <v>7.46413847090329E-8</v>
      </c>
      <c r="AA26">
        <f t="shared" si="9"/>
        <v>3.5430493523412147E-2</v>
      </c>
      <c r="AB26">
        <f t="shared" si="10"/>
        <v>6.1492821286936441E-3</v>
      </c>
      <c r="AC26">
        <f t="shared" si="11"/>
        <v>2.8735733871147655E-3</v>
      </c>
      <c r="AE26" s="2">
        <f t="shared" si="24"/>
        <v>37591</v>
      </c>
      <c r="AF26" t="s">
        <v>8</v>
      </c>
      <c r="AG26">
        <f t="shared" ref="AG26:AM26" si="38">SQRT(AVERAGE(W15:W26))</f>
        <v>0.10777379894784064</v>
      </c>
      <c r="AH26">
        <f t="shared" si="38"/>
        <v>0.13794831727783155</v>
      </c>
      <c r="AI26">
        <f t="shared" si="38"/>
        <v>0.10882785055749926</v>
      </c>
      <c r="AJ26">
        <f t="shared" si="38"/>
        <v>0.14611240943475809</v>
      </c>
      <c r="AK26">
        <f t="shared" si="38"/>
        <v>0.17828437382838525</v>
      </c>
      <c r="AL26">
        <f t="shared" si="38"/>
        <v>0.1509568974703091</v>
      </c>
      <c r="AM26">
        <f t="shared" si="38"/>
        <v>0.10587982130696433</v>
      </c>
    </row>
    <row r="27" spans="1:49" x14ac:dyDescent="0.3">
      <c r="A27" s="2">
        <f t="shared" si="21"/>
        <v>37622</v>
      </c>
      <c r="B27">
        <v>0.43907864174901329</v>
      </c>
      <c r="C27">
        <v>0.20833283272847611</v>
      </c>
      <c r="D27">
        <v>0.23688829315480439</v>
      </c>
      <c r="E27">
        <v>0.20561914612939339</v>
      </c>
      <c r="F27">
        <v>0.16515280384732381</v>
      </c>
      <c r="G27">
        <v>0.35301791263129362</v>
      </c>
      <c r="H27">
        <v>0.22586130279836861</v>
      </c>
      <c r="I27">
        <v>0.20975911106335129</v>
      </c>
      <c r="K27" s="2">
        <f t="shared" si="22"/>
        <v>37622</v>
      </c>
      <c r="L27" t="s">
        <v>8</v>
      </c>
      <c r="M27">
        <f t="shared" si="18"/>
        <v>0.23074580902053718</v>
      </c>
      <c r="N27">
        <f t="shared" si="0"/>
        <v>0.2021903485942089</v>
      </c>
      <c r="O27">
        <f t="shared" si="1"/>
        <v>0.2334594956196199</v>
      </c>
      <c r="P27">
        <f t="shared" si="2"/>
        <v>0.27392583790168945</v>
      </c>
      <c r="Q27">
        <f t="shared" si="3"/>
        <v>8.606072911771967E-2</v>
      </c>
      <c r="R27">
        <f t="shared" si="4"/>
        <v>0.21321733895064468</v>
      </c>
      <c r="S27">
        <f t="shared" si="5"/>
        <v>0.22931953068566199</v>
      </c>
      <c r="U27" s="2">
        <f t="shared" si="23"/>
        <v>37622</v>
      </c>
      <c r="V27" t="s">
        <v>8</v>
      </c>
      <c r="W27">
        <f t="shared" si="19"/>
        <v>5.3243628380542217E-2</v>
      </c>
      <c r="X27">
        <f t="shared" si="6"/>
        <v>4.088093706464771E-2</v>
      </c>
      <c r="Y27">
        <f t="shared" si="7"/>
        <v>5.4503336094967325E-2</v>
      </c>
      <c r="Z27">
        <f t="shared" si="8"/>
        <v>7.5035364670142643E-2</v>
      </c>
      <c r="AA27">
        <f t="shared" si="9"/>
        <v>7.406449096273522E-3</v>
      </c>
      <c r="AB27">
        <f t="shared" si="10"/>
        <v>4.5461633629194101E-2</v>
      </c>
      <c r="AC27">
        <f t="shared" si="11"/>
        <v>5.2587447153892269E-2</v>
      </c>
      <c r="AE27" s="2">
        <f t="shared" si="24"/>
        <v>37622</v>
      </c>
      <c r="AF27" t="s">
        <v>8</v>
      </c>
      <c r="AG27">
        <f t="shared" ref="AG27:AM27" si="39">SQRT(AVERAGE(W16:W27))</f>
        <v>0.11829570387704055</v>
      </c>
      <c r="AH27">
        <f t="shared" si="39"/>
        <v>0.13045889726074544</v>
      </c>
      <c r="AI27">
        <f t="shared" si="39"/>
        <v>0.11841649892232499</v>
      </c>
      <c r="AJ27">
        <f t="shared" si="39"/>
        <v>0.15287579426142886</v>
      </c>
      <c r="AK27">
        <f t="shared" si="39"/>
        <v>0.17166785170336901</v>
      </c>
      <c r="AL27">
        <f t="shared" si="39"/>
        <v>0.15830061773656906</v>
      </c>
      <c r="AM27">
        <f t="shared" si="39"/>
        <v>0.12433497558191335</v>
      </c>
    </row>
    <row r="28" spans="1:49" x14ac:dyDescent="0.3">
      <c r="A28" s="2">
        <f t="shared" si="21"/>
        <v>37653</v>
      </c>
      <c r="B28">
        <v>0.54615100255217541</v>
      </c>
      <c r="C28">
        <v>0.33004761324390153</v>
      </c>
      <c r="D28">
        <v>0.2900302045249542</v>
      </c>
      <c r="E28">
        <v>0.33398911865033443</v>
      </c>
      <c r="F28">
        <v>0.43907864174901329</v>
      </c>
      <c r="G28">
        <v>0.35318437438974182</v>
      </c>
      <c r="H28">
        <v>0.2085259775066578</v>
      </c>
      <c r="I28">
        <v>0.27070878609297588</v>
      </c>
      <c r="K28" s="2">
        <f t="shared" si="22"/>
        <v>37653</v>
      </c>
      <c r="L28" t="s">
        <v>8</v>
      </c>
      <c r="M28">
        <f t="shared" si="18"/>
        <v>0.21610338930827389</v>
      </c>
      <c r="N28">
        <f t="shared" si="0"/>
        <v>0.25612079802722121</v>
      </c>
      <c r="O28">
        <f t="shared" si="1"/>
        <v>0.21216188390184099</v>
      </c>
      <c r="P28">
        <f t="shared" si="2"/>
        <v>0.10707236080316213</v>
      </c>
      <c r="Q28">
        <f t="shared" si="3"/>
        <v>0.1929666281624336</v>
      </c>
      <c r="R28">
        <f t="shared" si="4"/>
        <v>0.33762502504551761</v>
      </c>
      <c r="S28">
        <f t="shared" si="5"/>
        <v>0.27544221645919953</v>
      </c>
      <c r="U28" s="2">
        <f t="shared" si="23"/>
        <v>37653</v>
      </c>
      <c r="V28" t="s">
        <v>8</v>
      </c>
      <c r="W28">
        <f t="shared" si="19"/>
        <v>4.6700674870523387E-2</v>
      </c>
      <c r="X28">
        <f t="shared" si="6"/>
        <v>6.5597863182100632E-2</v>
      </c>
      <c r="Y28">
        <f t="shared" si="7"/>
        <v>4.5012664980778251E-2</v>
      </c>
      <c r="Z28">
        <f t="shared" si="8"/>
        <v>1.1464490447962529E-2</v>
      </c>
      <c r="AA28">
        <f t="shared" si="9"/>
        <v>3.7236119584378911E-2</v>
      </c>
      <c r="AB28">
        <f t="shared" si="10"/>
        <v>0.1139906575369864</v>
      </c>
      <c r="AC28">
        <f t="shared" si="11"/>
        <v>7.5868414607956527E-2</v>
      </c>
      <c r="AE28" s="2">
        <f t="shared" si="24"/>
        <v>37653</v>
      </c>
      <c r="AF28" t="s">
        <v>8</v>
      </c>
      <c r="AG28">
        <f t="shared" ref="AG28:AM28" si="40">SQRT(AVERAGE(W17:W28))</f>
        <v>0.13295727152425471</v>
      </c>
      <c r="AH28">
        <f t="shared" si="40"/>
        <v>0.14980422582173022</v>
      </c>
      <c r="AI28">
        <f t="shared" si="40"/>
        <v>0.13259944299407186</v>
      </c>
      <c r="AJ28">
        <f t="shared" si="40"/>
        <v>0.15596915049322979</v>
      </c>
      <c r="AK28">
        <f t="shared" si="40"/>
        <v>0.17217111601653212</v>
      </c>
      <c r="AL28">
        <f t="shared" si="40"/>
        <v>0.18280129932944256</v>
      </c>
      <c r="AM28">
        <f t="shared" si="40"/>
        <v>0.14575835909872153</v>
      </c>
    </row>
    <row r="29" spans="1:49" x14ac:dyDescent="0.3">
      <c r="A29" s="2">
        <f t="shared" si="21"/>
        <v>37681</v>
      </c>
      <c r="B29">
        <v>0.1632653423885522</v>
      </c>
      <c r="C29">
        <v>0.36554989905277968</v>
      </c>
      <c r="D29">
        <v>0.31731839187805477</v>
      </c>
      <c r="E29">
        <v>0.36869947789289748</v>
      </c>
      <c r="F29">
        <v>0.54615100255217541</v>
      </c>
      <c r="G29">
        <v>0.35355689683793179</v>
      </c>
      <c r="H29">
        <v>0.31824512091804441</v>
      </c>
      <c r="I29">
        <v>0.32510056960183742</v>
      </c>
      <c r="K29" s="2">
        <f t="shared" si="22"/>
        <v>37681</v>
      </c>
      <c r="L29" t="s">
        <v>8</v>
      </c>
      <c r="M29">
        <f t="shared" si="18"/>
        <v>0.20228455666422748</v>
      </c>
      <c r="N29">
        <f t="shared" si="0"/>
        <v>0.15405304948950257</v>
      </c>
      <c r="O29">
        <f t="shared" si="1"/>
        <v>0.20543413550434528</v>
      </c>
      <c r="P29">
        <f t="shared" si="2"/>
        <v>0.38288566016362324</v>
      </c>
      <c r="Q29">
        <f t="shared" si="3"/>
        <v>0.19029155444937959</v>
      </c>
      <c r="R29">
        <f t="shared" si="4"/>
        <v>0.15497977852949221</v>
      </c>
      <c r="S29">
        <f t="shared" si="5"/>
        <v>0.16183522721328522</v>
      </c>
      <c r="U29" s="2">
        <f t="shared" si="23"/>
        <v>37681</v>
      </c>
      <c r="V29" t="s">
        <v>8</v>
      </c>
      <c r="W29">
        <f t="shared" si="19"/>
        <v>4.0919041864843061E-2</v>
      </c>
      <c r="X29">
        <f t="shared" si="6"/>
        <v>2.3732342057015129E-2</v>
      </c>
      <c r="Y29">
        <f t="shared" si="7"/>
        <v>4.2203184030417694E-2</v>
      </c>
      <c r="Z29">
        <f t="shared" si="8"/>
        <v>0.14660142875893359</v>
      </c>
      <c r="AA29">
        <f t="shared" si="9"/>
        <v>3.6210875694761196E-2</v>
      </c>
      <c r="AB29">
        <f t="shared" si="10"/>
        <v>2.4018731753050457E-2</v>
      </c>
      <c r="AC29">
        <f t="shared" si="11"/>
        <v>2.6190640767175654E-2</v>
      </c>
      <c r="AE29" s="2">
        <f t="shared" si="24"/>
        <v>37681</v>
      </c>
      <c r="AF29" t="s">
        <v>8</v>
      </c>
      <c r="AG29">
        <f t="shared" ref="AG29:AM29" si="41">SQRT(AVERAGE(W18:W29))</f>
        <v>0.13774694962559242</v>
      </c>
      <c r="AH29">
        <f t="shared" si="41"/>
        <v>0.14617492779986713</v>
      </c>
      <c r="AI29">
        <f t="shared" si="41"/>
        <v>0.1380353422348766</v>
      </c>
      <c r="AJ29">
        <f t="shared" si="41"/>
        <v>0.18841740601397977</v>
      </c>
      <c r="AK29">
        <f t="shared" si="41"/>
        <v>0.17940951078051204</v>
      </c>
      <c r="AL29">
        <f t="shared" si="41"/>
        <v>0.17861847860135258</v>
      </c>
      <c r="AM29">
        <f t="shared" si="41"/>
        <v>0.15075255236475152</v>
      </c>
    </row>
    <row r="30" spans="1:49" x14ac:dyDescent="0.3">
      <c r="A30" s="2">
        <f t="shared" si="21"/>
        <v>37712</v>
      </c>
      <c r="B30">
        <v>-0.38136793702454602</v>
      </c>
      <c r="C30">
        <v>0.26760120007663751</v>
      </c>
      <c r="D30">
        <v>0.32621673755348429</v>
      </c>
      <c r="E30">
        <v>0.27424630989386461</v>
      </c>
      <c r="F30">
        <v>0.1632653423885522</v>
      </c>
      <c r="G30">
        <v>0.35319024644400232</v>
      </c>
      <c r="H30">
        <v>0.39998998435615207</v>
      </c>
      <c r="I30">
        <v>0.27229746364717422</v>
      </c>
      <c r="K30" s="2">
        <f t="shared" si="22"/>
        <v>37712</v>
      </c>
      <c r="L30" t="s">
        <v>8</v>
      </c>
      <c r="M30">
        <f t="shared" si="18"/>
        <v>0.64896913710118354</v>
      </c>
      <c r="N30">
        <f t="shared" si="0"/>
        <v>0.70758467457803031</v>
      </c>
      <c r="O30">
        <f t="shared" si="1"/>
        <v>0.65561424691841064</v>
      </c>
      <c r="P30">
        <f t="shared" si="2"/>
        <v>0.54463327941309825</v>
      </c>
      <c r="Q30">
        <f t="shared" si="3"/>
        <v>0.7345581834685484</v>
      </c>
      <c r="R30">
        <f t="shared" si="4"/>
        <v>0.78135792138069804</v>
      </c>
      <c r="S30">
        <f t="shared" si="5"/>
        <v>0.65366540067172019</v>
      </c>
      <c r="U30" s="2">
        <f t="shared" si="23"/>
        <v>37712</v>
      </c>
      <c r="V30" t="s">
        <v>8</v>
      </c>
      <c r="W30">
        <f t="shared" si="19"/>
        <v>0.42116094090985473</v>
      </c>
      <c r="X30">
        <f t="shared" si="6"/>
        <v>0.50067607169769701</v>
      </c>
      <c r="Y30">
        <f t="shared" si="7"/>
        <v>0.42983004076239473</v>
      </c>
      <c r="Z30">
        <f t="shared" si="8"/>
        <v>0.29662540904426593</v>
      </c>
      <c r="AA30">
        <f t="shared" si="9"/>
        <v>0.53957572490061356</v>
      </c>
      <c r="AB30">
        <f t="shared" si="10"/>
        <v>0.61052020130436513</v>
      </c>
      <c r="AC30">
        <f t="shared" si="11"/>
        <v>0.4272784560353205</v>
      </c>
      <c r="AE30" s="2">
        <f t="shared" si="24"/>
        <v>37712</v>
      </c>
      <c r="AF30" t="s">
        <v>8</v>
      </c>
      <c r="AG30">
        <f t="shared" ref="AG30:AM30" si="42">SQRT(AVERAGE(W19:W30))</f>
        <v>0.22722615660682441</v>
      </c>
      <c r="AH30">
        <f t="shared" si="42"/>
        <v>0.24243153060336919</v>
      </c>
      <c r="AI30">
        <f t="shared" si="42"/>
        <v>0.228944125281135</v>
      </c>
      <c r="AJ30">
        <f t="shared" si="42"/>
        <v>0.24063440423056409</v>
      </c>
      <c r="AK30">
        <f t="shared" si="42"/>
        <v>0.27650430127853803</v>
      </c>
      <c r="AL30">
        <f t="shared" si="42"/>
        <v>0.27434543645879717</v>
      </c>
      <c r="AM30">
        <f t="shared" si="42"/>
        <v>0.23444425049777118</v>
      </c>
    </row>
    <row r="31" spans="1:49" x14ac:dyDescent="0.3">
      <c r="A31" s="2">
        <f t="shared" si="21"/>
        <v>37742</v>
      </c>
      <c r="B31">
        <v>-0.16388968432101689</v>
      </c>
      <c r="C31">
        <v>7.4290183735095574E-3</v>
      </c>
      <c r="D31">
        <v>0.13624420363532491</v>
      </c>
      <c r="E31">
        <v>9.8282692667155738E-3</v>
      </c>
      <c r="F31">
        <v>-0.38136793702454602</v>
      </c>
      <c r="G31">
        <v>0.35177763455271671</v>
      </c>
      <c r="H31">
        <v>0.29616747099898583</v>
      </c>
      <c r="I31">
        <v>0.1166502426933843</v>
      </c>
      <c r="K31" s="2">
        <f t="shared" si="22"/>
        <v>37742</v>
      </c>
      <c r="L31" t="s">
        <v>8</v>
      </c>
      <c r="M31">
        <f t="shared" si="18"/>
        <v>0.17131870269452645</v>
      </c>
      <c r="N31">
        <f t="shared" si="0"/>
        <v>0.30013388795634177</v>
      </c>
      <c r="O31">
        <f t="shared" si="1"/>
        <v>0.17371795358773245</v>
      </c>
      <c r="P31">
        <f t="shared" si="2"/>
        <v>0.21747825270352913</v>
      </c>
      <c r="Q31">
        <f t="shared" si="3"/>
        <v>0.51566731887373363</v>
      </c>
      <c r="R31">
        <f t="shared" si="4"/>
        <v>0.46005715532000269</v>
      </c>
      <c r="S31">
        <f t="shared" si="5"/>
        <v>0.28053992701440117</v>
      </c>
      <c r="U31" s="2">
        <f t="shared" si="23"/>
        <v>37742</v>
      </c>
      <c r="V31" t="s">
        <v>8</v>
      </c>
      <c r="W31">
        <f t="shared" si="19"/>
        <v>2.9350097892935547E-2</v>
      </c>
      <c r="X31">
        <f t="shared" si="6"/>
        <v>9.008035069978991E-2</v>
      </c>
      <c r="Y31">
        <f t="shared" si="7"/>
        <v>3.0177927398709566E-2</v>
      </c>
      <c r="Z31">
        <f t="shared" si="8"/>
        <v>4.7296790398980076E-2</v>
      </c>
      <c r="AA31">
        <f t="shared" si="9"/>
        <v>0.2659127837544249</v>
      </c>
      <c r="AB31">
        <f t="shared" si="10"/>
        <v>0.21165258616113308</v>
      </c>
      <c r="AC31">
        <f t="shared" si="11"/>
        <v>7.8702650649245531E-2</v>
      </c>
      <c r="AE31" s="2">
        <f t="shared" si="24"/>
        <v>37742</v>
      </c>
      <c r="AF31" t="s">
        <v>8</v>
      </c>
      <c r="AG31">
        <f t="shared" ref="AG31:AM31" si="43">SQRT(AVERAGE(W20:W31))</f>
        <v>0.22938930838462648</v>
      </c>
      <c r="AH31">
        <f t="shared" si="43"/>
        <v>0.25358577769218998</v>
      </c>
      <c r="AI31">
        <f t="shared" si="43"/>
        <v>0.23104660541517444</v>
      </c>
      <c r="AJ31">
        <f t="shared" si="43"/>
        <v>0.22903138724319713</v>
      </c>
      <c r="AK31">
        <f t="shared" si="43"/>
        <v>0.30600275483214906</v>
      </c>
      <c r="AL31">
        <f t="shared" si="43"/>
        <v>0.30321567472460709</v>
      </c>
      <c r="AM31">
        <f t="shared" si="43"/>
        <v>0.24319803385671349</v>
      </c>
    </row>
    <row r="32" spans="1:49" x14ac:dyDescent="0.3">
      <c r="A32" s="2">
        <f t="shared" si="21"/>
        <v>37773</v>
      </c>
      <c r="B32">
        <v>0.10928962836445071</v>
      </c>
      <c r="C32">
        <v>7.8690296604110019E-2</v>
      </c>
      <c r="D32">
        <v>0.1147962909059813</v>
      </c>
      <c r="E32">
        <v>7.4056722807870387E-2</v>
      </c>
      <c r="F32">
        <v>-0.16388968432101689</v>
      </c>
      <c r="G32">
        <v>0.3507878700251279</v>
      </c>
      <c r="H32">
        <v>5.9793371747113543E-2</v>
      </c>
      <c r="I32">
        <v>0.169763723105915</v>
      </c>
      <c r="K32" s="2">
        <f t="shared" si="22"/>
        <v>37773</v>
      </c>
      <c r="L32" t="s">
        <v>8</v>
      </c>
      <c r="M32">
        <f t="shared" si="18"/>
        <v>3.0599331760340687E-2</v>
      </c>
      <c r="N32">
        <f t="shared" si="0"/>
        <v>5.5066625415305936E-3</v>
      </c>
      <c r="O32">
        <f t="shared" si="1"/>
        <v>3.5232905556580318E-2</v>
      </c>
      <c r="P32">
        <f t="shared" si="2"/>
        <v>0.27317931268546758</v>
      </c>
      <c r="Q32">
        <f t="shared" si="3"/>
        <v>0.24149824166067718</v>
      </c>
      <c r="R32">
        <f t="shared" si="4"/>
        <v>4.9496256617337163E-2</v>
      </c>
      <c r="S32">
        <f t="shared" si="5"/>
        <v>6.0474094741464299E-2</v>
      </c>
      <c r="U32" s="2">
        <f t="shared" si="23"/>
        <v>37773</v>
      </c>
      <c r="V32" t="s">
        <v>8</v>
      </c>
      <c r="W32">
        <f t="shared" si="19"/>
        <v>9.363191041793943E-4</v>
      </c>
      <c r="X32">
        <f t="shared" si="6"/>
        <v>3.0323332346296175E-5</v>
      </c>
      <c r="Y32">
        <f t="shared" si="7"/>
        <v>1.2413576339589084E-3</v>
      </c>
      <c r="Z32">
        <f t="shared" si="8"/>
        <v>7.4626936879304467E-2</v>
      </c>
      <c r="AA32">
        <f t="shared" si="9"/>
        <v>5.8321400725198834E-2</v>
      </c>
      <c r="AB32">
        <f t="shared" si="10"/>
        <v>2.4498794191292928E-3</v>
      </c>
      <c r="AC32">
        <f t="shared" si="11"/>
        <v>3.6571161347996001E-3</v>
      </c>
      <c r="AE32" s="2">
        <f t="shared" si="24"/>
        <v>37773</v>
      </c>
      <c r="AF32" t="s">
        <v>8</v>
      </c>
      <c r="AG32">
        <f t="shared" ref="AG32:AM32" si="44">SQRT(AVERAGE(W21:W32))</f>
        <v>0.22593794459464617</v>
      </c>
      <c r="AH32">
        <f t="shared" si="44"/>
        <v>0.24925781283071533</v>
      </c>
      <c r="AI32">
        <f t="shared" si="44"/>
        <v>0.22801332405998714</v>
      </c>
      <c r="AJ32">
        <f t="shared" si="44"/>
        <v>0.24169180771381332</v>
      </c>
      <c r="AK32">
        <f t="shared" si="44"/>
        <v>0.30168520578140468</v>
      </c>
      <c r="AL32">
        <f t="shared" si="44"/>
        <v>0.29276124838651463</v>
      </c>
      <c r="AM32">
        <f t="shared" si="44"/>
        <v>0.23911220867667216</v>
      </c>
    </row>
    <row r="33" spans="1:39" x14ac:dyDescent="0.3">
      <c r="A33" s="2">
        <f t="shared" si="21"/>
        <v>37803</v>
      </c>
      <c r="B33">
        <v>0.3271540540615625</v>
      </c>
      <c r="C33">
        <v>0.16872220950091049</v>
      </c>
      <c r="D33">
        <v>0.17864159431700999</v>
      </c>
      <c r="E33">
        <v>0.16425444340794551</v>
      </c>
      <c r="F33">
        <v>0.10928962836445071</v>
      </c>
      <c r="G33">
        <v>0.35032522971543312</v>
      </c>
      <c r="H33">
        <v>2.5600316629514931E-2</v>
      </c>
      <c r="I33">
        <v>0.24860079514466851</v>
      </c>
      <c r="K33" s="2">
        <f t="shared" si="22"/>
        <v>37803</v>
      </c>
      <c r="L33" t="s">
        <v>8</v>
      </c>
      <c r="M33">
        <f t="shared" si="18"/>
        <v>0.15843184456065201</v>
      </c>
      <c r="N33">
        <f t="shared" si="0"/>
        <v>0.14851245974455252</v>
      </c>
      <c r="O33">
        <f t="shared" si="1"/>
        <v>0.16289961065361699</v>
      </c>
      <c r="P33">
        <f t="shared" si="2"/>
        <v>0.21786442569711179</v>
      </c>
      <c r="Q33">
        <f t="shared" si="3"/>
        <v>2.3171175653870613E-2</v>
      </c>
      <c r="R33">
        <f t="shared" si="4"/>
        <v>0.30155373743204755</v>
      </c>
      <c r="S33">
        <f t="shared" si="5"/>
        <v>7.8553258916893992E-2</v>
      </c>
      <c r="U33" s="2">
        <f t="shared" si="23"/>
        <v>37803</v>
      </c>
      <c r="V33" t="s">
        <v>8</v>
      </c>
      <c r="W33">
        <f t="shared" si="19"/>
        <v>2.5100649370890602E-2</v>
      </c>
      <c r="X33">
        <f t="shared" si="6"/>
        <v>2.2055950699377332E-2</v>
      </c>
      <c r="Y33">
        <f t="shared" si="7"/>
        <v>2.6536283151100008E-2</v>
      </c>
      <c r="Z33">
        <f t="shared" si="8"/>
        <v>4.7464907984332345E-2</v>
      </c>
      <c r="AA33">
        <f t="shared" si="9"/>
        <v>5.3690338118252622E-4</v>
      </c>
      <c r="AB33">
        <f t="shared" si="10"/>
        <v>9.0934656559236271E-2</v>
      </c>
      <c r="AC33">
        <f t="shared" si="11"/>
        <v>6.1706144864645852E-3</v>
      </c>
      <c r="AE33" s="2">
        <f t="shared" si="24"/>
        <v>37803</v>
      </c>
      <c r="AF33" t="s">
        <v>8</v>
      </c>
      <c r="AG33">
        <f t="shared" ref="AG33:AM33" si="45">SQRT(AVERAGE(W22:W33))</f>
        <v>0.22999982394197477</v>
      </c>
      <c r="AH33">
        <f t="shared" si="45"/>
        <v>0.2522297214596424</v>
      </c>
      <c r="AI33">
        <f t="shared" si="45"/>
        <v>0.23230397046125331</v>
      </c>
      <c r="AJ33">
        <f t="shared" si="45"/>
        <v>0.24505616085387608</v>
      </c>
      <c r="AK33">
        <f t="shared" si="45"/>
        <v>0.29933222755286626</v>
      </c>
      <c r="AL33">
        <f t="shared" si="45"/>
        <v>0.3053603763992539</v>
      </c>
      <c r="AM33">
        <f t="shared" si="45"/>
        <v>0.24018329100044836</v>
      </c>
    </row>
    <row r="34" spans="1:39" x14ac:dyDescent="0.3">
      <c r="A34" s="2">
        <f t="shared" si="21"/>
        <v>37834</v>
      </c>
      <c r="B34">
        <v>0.43454712595014661</v>
      </c>
      <c r="C34">
        <v>0.1874899958810213</v>
      </c>
      <c r="D34">
        <v>0.2234998154646885</v>
      </c>
      <c r="E34">
        <v>0.19070531175140429</v>
      </c>
      <c r="F34">
        <v>0.3271540540615625</v>
      </c>
      <c r="G34">
        <v>0.35028092536427852</v>
      </c>
      <c r="H34">
        <v>6.5607607926772823E-2</v>
      </c>
      <c r="I34">
        <v>0.24963664010643299</v>
      </c>
      <c r="K34" s="2">
        <f t="shared" si="22"/>
        <v>37834</v>
      </c>
      <c r="L34" t="s">
        <v>8</v>
      </c>
      <c r="M34">
        <f t="shared" si="18"/>
        <v>0.2470571300691253</v>
      </c>
      <c r="N34">
        <f t="shared" si="0"/>
        <v>0.21104731048545811</v>
      </c>
      <c r="O34">
        <f t="shared" si="1"/>
        <v>0.24384181419874232</v>
      </c>
      <c r="P34">
        <f t="shared" si="2"/>
        <v>0.1073930718885841</v>
      </c>
      <c r="Q34">
        <f t="shared" si="3"/>
        <v>8.426620058586809E-2</v>
      </c>
      <c r="R34">
        <f t="shared" si="4"/>
        <v>0.36893951802337377</v>
      </c>
      <c r="S34">
        <f t="shared" si="5"/>
        <v>0.18491048584371361</v>
      </c>
      <c r="U34" s="2">
        <f t="shared" si="23"/>
        <v>37834</v>
      </c>
      <c r="V34" t="s">
        <v>8</v>
      </c>
      <c r="W34">
        <f t="shared" si="19"/>
        <v>6.1037225517992698E-2</v>
      </c>
      <c r="X34">
        <f t="shared" si="6"/>
        <v>4.4540967263145353E-2</v>
      </c>
      <c r="Y34">
        <f t="shared" si="7"/>
        <v>5.9458830351733973E-2</v>
      </c>
      <c r="Z34">
        <f t="shared" si="8"/>
        <v>1.1533271889666593E-2</v>
      </c>
      <c r="AA34">
        <f t="shared" si="9"/>
        <v>7.1007925611777552E-3</v>
      </c>
      <c r="AB34">
        <f t="shared" si="10"/>
        <v>0.13611636795931933</v>
      </c>
      <c r="AC34">
        <f t="shared" si="11"/>
        <v>3.4191887774958213E-2</v>
      </c>
      <c r="AE34" s="2">
        <f t="shared" si="24"/>
        <v>37834</v>
      </c>
      <c r="AF34" t="s">
        <v>8</v>
      </c>
      <c r="AG34">
        <f t="shared" ref="AG34:AM34" si="46">SQRT(AVERAGE(W23:W34))</f>
        <v>0.23942341554215571</v>
      </c>
      <c r="AH34">
        <f t="shared" si="46"/>
        <v>0.25852018016443695</v>
      </c>
      <c r="AI34">
        <f t="shared" si="46"/>
        <v>0.24140568948063112</v>
      </c>
      <c r="AJ34">
        <f t="shared" si="46"/>
        <v>0.24649999648272716</v>
      </c>
      <c r="AK34">
        <f t="shared" si="46"/>
        <v>0.29949246069296998</v>
      </c>
      <c r="AL34">
        <f t="shared" si="46"/>
        <v>0.32256806036678953</v>
      </c>
      <c r="AM34">
        <f t="shared" si="46"/>
        <v>0.24572669734829222</v>
      </c>
    </row>
    <row r="35" spans="1:39" x14ac:dyDescent="0.3">
      <c r="A35" s="2">
        <f t="shared" si="21"/>
        <v>37865</v>
      </c>
      <c r="B35">
        <v>0.32467560988704852</v>
      </c>
      <c r="C35">
        <v>0.25726823031684098</v>
      </c>
      <c r="D35">
        <v>0.2437647286424772</v>
      </c>
      <c r="E35">
        <v>0.2543763482827946</v>
      </c>
      <c r="F35">
        <v>0.43454712595014661</v>
      </c>
      <c r="G35">
        <v>0.35044173872417522</v>
      </c>
      <c r="H35">
        <v>0.154854649735959</v>
      </c>
      <c r="I35">
        <v>0.28935462308845822</v>
      </c>
      <c r="K35" s="2">
        <f t="shared" si="22"/>
        <v>37865</v>
      </c>
      <c r="L35" t="s">
        <v>8</v>
      </c>
      <c r="M35">
        <f t="shared" si="18"/>
        <v>6.7407379570207537E-2</v>
      </c>
      <c r="N35">
        <f t="shared" si="0"/>
        <v>8.0910881244571325E-2</v>
      </c>
      <c r="O35">
        <f t="shared" si="1"/>
        <v>7.0299261604253926E-2</v>
      </c>
      <c r="P35">
        <f t="shared" si="2"/>
        <v>0.10987151606309808</v>
      </c>
      <c r="Q35">
        <f t="shared" si="3"/>
        <v>2.5766128837126701E-2</v>
      </c>
      <c r="R35">
        <f t="shared" si="4"/>
        <v>0.16982096015108952</v>
      </c>
      <c r="S35">
        <f t="shared" si="5"/>
        <v>3.5320986798590304E-2</v>
      </c>
      <c r="U35" s="2">
        <f t="shared" si="23"/>
        <v>37865</v>
      </c>
      <c r="V35" t="s">
        <v>8</v>
      </c>
      <c r="W35">
        <f t="shared" si="19"/>
        <v>4.5437548205220328E-3</v>
      </c>
      <c r="X35">
        <f t="shared" si="6"/>
        <v>6.5465707037731238E-3</v>
      </c>
      <c r="Y35">
        <f t="shared" si="7"/>
        <v>4.9419861821033305E-3</v>
      </c>
      <c r="Z35">
        <f t="shared" si="8"/>
        <v>1.207175004200362E-2</v>
      </c>
      <c r="AA35">
        <f t="shared" si="9"/>
        <v>6.6389339525141215E-4</v>
      </c>
      <c r="AB35">
        <f t="shared" si="10"/>
        <v>2.8839158506637937E-2</v>
      </c>
      <c r="AC35">
        <f t="shared" si="11"/>
        <v>1.2475721084261905E-3</v>
      </c>
      <c r="AE35" s="2">
        <f t="shared" si="24"/>
        <v>37865</v>
      </c>
      <c r="AF35" t="s">
        <v>8</v>
      </c>
      <c r="AG35">
        <f t="shared" ref="AG35:AM35" si="47">SQRT(AVERAGE(W24:W35))</f>
        <v>0.23995033983833733</v>
      </c>
      <c r="AH35">
        <f t="shared" si="47"/>
        <v>0.25933241859435685</v>
      </c>
      <c r="AI35">
        <f t="shared" si="47"/>
        <v>0.24204312963998728</v>
      </c>
      <c r="AJ35">
        <f t="shared" si="47"/>
        <v>0.24644562018266775</v>
      </c>
      <c r="AK35">
        <f t="shared" si="47"/>
        <v>0.29461176402506745</v>
      </c>
      <c r="AL35">
        <f t="shared" si="47"/>
        <v>0.32566386770054029</v>
      </c>
      <c r="AM35">
        <f t="shared" si="47"/>
        <v>0.24510888963493777</v>
      </c>
    </row>
    <row r="36" spans="1:39" x14ac:dyDescent="0.3">
      <c r="A36" s="2">
        <f t="shared" si="21"/>
        <v>37895</v>
      </c>
      <c r="B36">
        <v>-0.1081081186373289</v>
      </c>
      <c r="C36">
        <v>0.15185923761085601</v>
      </c>
      <c r="D36">
        <v>0.23352250062279939</v>
      </c>
      <c r="E36">
        <v>0.14915578602537391</v>
      </c>
      <c r="F36">
        <v>0.32467560988704852</v>
      </c>
      <c r="G36">
        <v>0.35039266038353312</v>
      </c>
      <c r="H36">
        <v>0.29351916282379548</v>
      </c>
      <c r="I36">
        <v>0.27245670227401481</v>
      </c>
      <c r="K36" s="2">
        <f t="shared" si="22"/>
        <v>37895</v>
      </c>
      <c r="L36" t="s">
        <v>8</v>
      </c>
      <c r="M36">
        <f t="shared" si="18"/>
        <v>0.2599673562481849</v>
      </c>
      <c r="N36">
        <f t="shared" si="0"/>
        <v>0.34163061926012828</v>
      </c>
      <c r="O36">
        <f t="shared" si="1"/>
        <v>0.25726390466270282</v>
      </c>
      <c r="P36">
        <f t="shared" si="2"/>
        <v>0.43278372852437741</v>
      </c>
      <c r="Q36">
        <f t="shared" si="3"/>
        <v>0.458500779020862</v>
      </c>
      <c r="R36">
        <f t="shared" si="4"/>
        <v>0.40162728146112436</v>
      </c>
      <c r="S36">
        <f t="shared" si="5"/>
        <v>0.38056482091134369</v>
      </c>
      <c r="U36" s="2">
        <f t="shared" si="23"/>
        <v>37895</v>
      </c>
      <c r="V36" t="s">
        <v>8</v>
      </c>
      <c r="W36">
        <f t="shared" si="19"/>
        <v>6.7583026314670683E-2</v>
      </c>
      <c r="X36">
        <f t="shared" si="6"/>
        <v>0.11671148001605873</v>
      </c>
      <c r="Y36">
        <f t="shared" si="7"/>
        <v>6.6184716642300245E-2</v>
      </c>
      <c r="Z36">
        <f t="shared" si="8"/>
        <v>0.18730175567546201</v>
      </c>
      <c r="AA36">
        <f t="shared" si="9"/>
        <v>0.21022296436273732</v>
      </c>
      <c r="AB36">
        <f t="shared" si="10"/>
        <v>0.16130447321385322</v>
      </c>
      <c r="AC36">
        <f t="shared" si="11"/>
        <v>0.14482958291528311</v>
      </c>
      <c r="AE36" s="2">
        <f t="shared" si="24"/>
        <v>37895</v>
      </c>
      <c r="AF36" t="s">
        <v>8</v>
      </c>
      <c r="AG36">
        <f t="shared" ref="AG36:AM36" si="48">SQRT(AVERAGE(W25:W36))</f>
        <v>0.25139863157014108</v>
      </c>
      <c r="AH36">
        <f t="shared" si="48"/>
        <v>0.27742110254548852</v>
      </c>
      <c r="AI36">
        <f t="shared" si="48"/>
        <v>0.25317289482382888</v>
      </c>
      <c r="AJ36">
        <f t="shared" si="48"/>
        <v>0.27584869717387867</v>
      </c>
      <c r="AK36">
        <f t="shared" si="48"/>
        <v>0.32068724559076978</v>
      </c>
      <c r="AL36">
        <f t="shared" si="48"/>
        <v>0.34566030544264859</v>
      </c>
      <c r="AM36">
        <f t="shared" si="48"/>
        <v>0.2683491571943587</v>
      </c>
    </row>
    <row r="37" spans="1:39" x14ac:dyDescent="0.3">
      <c r="A37" s="2">
        <f t="shared" si="21"/>
        <v>37926</v>
      </c>
      <c r="B37">
        <v>5.4068668524553942E-2</v>
      </c>
      <c r="C37">
        <v>0.23051854795326249</v>
      </c>
      <c r="D37">
        <v>0.26580972763308919</v>
      </c>
      <c r="E37">
        <v>0.23760262964066611</v>
      </c>
      <c r="F37">
        <v>-0.1081081186373289</v>
      </c>
      <c r="G37">
        <v>0.34952098589870251</v>
      </c>
      <c r="H37">
        <v>0.32258765686459318</v>
      </c>
      <c r="I37">
        <v>0.2049490940189361</v>
      </c>
      <c r="K37" s="2">
        <f t="shared" si="22"/>
        <v>37926</v>
      </c>
      <c r="L37" t="s">
        <v>8</v>
      </c>
      <c r="M37">
        <f t="shared" si="18"/>
        <v>0.17644987942870854</v>
      </c>
      <c r="N37">
        <f t="shared" si="0"/>
        <v>0.21174105910853525</v>
      </c>
      <c r="O37">
        <f t="shared" si="1"/>
        <v>0.18353396111611217</v>
      </c>
      <c r="P37">
        <f t="shared" si="2"/>
        <v>0.16217678716188283</v>
      </c>
      <c r="Q37">
        <f t="shared" si="3"/>
        <v>0.29545231737414857</v>
      </c>
      <c r="R37">
        <f t="shared" si="4"/>
        <v>0.26851898834003923</v>
      </c>
      <c r="S37">
        <f t="shared" si="5"/>
        <v>0.15088042549438216</v>
      </c>
      <c r="U37" s="2">
        <f t="shared" si="23"/>
        <v>37926</v>
      </c>
      <c r="V37" t="s">
        <v>8</v>
      </c>
      <c r="W37">
        <f t="shared" si="19"/>
        <v>3.1134559950405784E-2</v>
      </c>
      <c r="X37">
        <f t="shared" si="6"/>
        <v>4.4834276112404217E-2</v>
      </c>
      <c r="Y37">
        <f t="shared" si="7"/>
        <v>3.3684714882970576E-2</v>
      </c>
      <c r="Z37">
        <f t="shared" si="8"/>
        <v>2.6301310294150643E-2</v>
      </c>
      <c r="AA37">
        <f t="shared" si="9"/>
        <v>8.7292071841754609E-2</v>
      </c>
      <c r="AB37">
        <f t="shared" si="10"/>
        <v>7.2102447099158126E-2</v>
      </c>
      <c r="AC37">
        <f t="shared" si="11"/>
        <v>2.2764902797365805E-2</v>
      </c>
      <c r="AE37" s="2">
        <f t="shared" si="24"/>
        <v>37926</v>
      </c>
      <c r="AF37" t="s">
        <v>8</v>
      </c>
      <c r="AG37">
        <f t="shared" ref="AG37:AM37" si="49">SQRT(AVERAGE(W26:W37))</f>
        <v>0.25528139107184583</v>
      </c>
      <c r="AH37">
        <f t="shared" si="49"/>
        <v>0.28281319448732029</v>
      </c>
      <c r="AI37">
        <f t="shared" si="49"/>
        <v>0.257241365718409</v>
      </c>
      <c r="AJ37">
        <f t="shared" si="49"/>
        <v>0.27933305848135681</v>
      </c>
      <c r="AK37">
        <f t="shared" si="49"/>
        <v>0.32735180779771256</v>
      </c>
      <c r="AL37">
        <f t="shared" si="49"/>
        <v>0.35397034660061999</v>
      </c>
      <c r="AM37">
        <f t="shared" si="49"/>
        <v>0.27024107429262778</v>
      </c>
    </row>
    <row r="38" spans="1:39" x14ac:dyDescent="0.3">
      <c r="A38" s="2">
        <f t="shared" si="21"/>
        <v>37956</v>
      </c>
      <c r="B38">
        <v>0.269905696916517</v>
      </c>
      <c r="C38">
        <v>0.19770404253190119</v>
      </c>
      <c r="D38">
        <v>0.25136255077665082</v>
      </c>
      <c r="E38">
        <v>0.20459787259551601</v>
      </c>
      <c r="F38">
        <v>5.4068668524553942E-2</v>
      </c>
      <c r="G38">
        <v>0.34896035531544978</v>
      </c>
      <c r="H38">
        <v>0.16553852564324839</v>
      </c>
      <c r="I38">
        <v>0.24230387519690649</v>
      </c>
      <c r="K38" s="2">
        <f t="shared" si="22"/>
        <v>37956</v>
      </c>
      <c r="L38" t="s">
        <v>8</v>
      </c>
      <c r="M38">
        <f t="shared" si="18"/>
        <v>7.2201654384615815E-2</v>
      </c>
      <c r="N38">
        <f t="shared" si="0"/>
        <v>1.8543146139866185E-2</v>
      </c>
      <c r="O38">
        <f t="shared" si="1"/>
        <v>6.530782432100099E-2</v>
      </c>
      <c r="P38">
        <f t="shared" si="2"/>
        <v>0.21583702839196306</v>
      </c>
      <c r="Q38">
        <f t="shared" si="3"/>
        <v>7.9054658398932776E-2</v>
      </c>
      <c r="R38">
        <f t="shared" si="4"/>
        <v>0.10436717127326861</v>
      </c>
      <c r="S38">
        <f t="shared" si="5"/>
        <v>2.7601821719610509E-2</v>
      </c>
      <c r="U38" s="2">
        <f t="shared" si="23"/>
        <v>37956</v>
      </c>
      <c r="V38" t="s">
        <v>8</v>
      </c>
      <c r="W38">
        <f t="shared" si="19"/>
        <v>5.2130788958755121E-3</v>
      </c>
      <c r="X38">
        <f t="shared" si="6"/>
        <v>3.4384826876443416E-4</v>
      </c>
      <c r="Y38">
        <f t="shared" si="7"/>
        <v>4.2651119175427287E-3</v>
      </c>
      <c r="Z38">
        <f t="shared" si="8"/>
        <v>4.6585622825073066E-2</v>
      </c>
      <c r="AA38">
        <f t="shared" si="9"/>
        <v>6.2496390145719526E-3</v>
      </c>
      <c r="AB38">
        <f t="shared" si="10"/>
        <v>1.0892506439583784E-2</v>
      </c>
      <c r="AC38">
        <f t="shared" si="11"/>
        <v>7.6186056224116243E-4</v>
      </c>
      <c r="AE38" s="2">
        <f t="shared" si="24"/>
        <v>37956</v>
      </c>
      <c r="AF38" t="s">
        <v>8</v>
      </c>
      <c r="AG38">
        <f t="shared" ref="AG38:AM38" si="50">SQRT(AVERAGE(W27:W38))</f>
        <v>0.25607990255211943</v>
      </c>
      <c r="AH38">
        <f t="shared" si="50"/>
        <v>0.2822574151811782</v>
      </c>
      <c r="AI38">
        <f t="shared" si="50"/>
        <v>0.25788242702650649</v>
      </c>
      <c r="AJ38">
        <f t="shared" si="50"/>
        <v>0.28619763551758504</v>
      </c>
      <c r="AK38">
        <f t="shared" si="50"/>
        <v>0.32361623598437378</v>
      </c>
      <c r="AL38">
        <f t="shared" si="50"/>
        <v>0.35452824283142415</v>
      </c>
      <c r="AM38">
        <f t="shared" si="50"/>
        <v>0.26991528701815704</v>
      </c>
    </row>
    <row r="39" spans="1:39" x14ac:dyDescent="0.3">
      <c r="A39" s="2">
        <f t="shared" si="21"/>
        <v>37987</v>
      </c>
      <c r="B39">
        <v>0.43033955600533252</v>
      </c>
      <c r="C39">
        <v>0.19113881834212071</v>
      </c>
      <c r="D39">
        <v>0.27618129936912411</v>
      </c>
      <c r="E39">
        <v>0.1917124071770249</v>
      </c>
      <c r="F39">
        <v>0.269905696916517</v>
      </c>
      <c r="G39">
        <v>0.34881063058363371</v>
      </c>
      <c r="H39">
        <v>0.16645584809118991</v>
      </c>
      <c r="I39">
        <v>0.27454916612972119</v>
      </c>
      <c r="K39" s="2">
        <f t="shared" si="22"/>
        <v>37987</v>
      </c>
      <c r="L39" t="s">
        <v>8</v>
      </c>
      <c r="M39">
        <f t="shared" si="18"/>
        <v>0.23920073766321182</v>
      </c>
      <c r="N39">
        <f t="shared" si="0"/>
        <v>0.15415825663620841</v>
      </c>
      <c r="O39">
        <f t="shared" si="1"/>
        <v>0.23862714882830763</v>
      </c>
      <c r="P39">
        <f t="shared" si="2"/>
        <v>0.16043385908881552</v>
      </c>
      <c r="Q39">
        <f t="shared" si="3"/>
        <v>8.1528925421698817E-2</v>
      </c>
      <c r="R39">
        <f t="shared" si="4"/>
        <v>0.26388370791414262</v>
      </c>
      <c r="S39">
        <f t="shared" si="5"/>
        <v>0.15579038987561133</v>
      </c>
      <c r="U39" s="2">
        <f t="shared" si="23"/>
        <v>37987</v>
      </c>
      <c r="V39" t="s">
        <v>8</v>
      </c>
      <c r="W39">
        <f t="shared" si="19"/>
        <v>5.7216992898624683E-2</v>
      </c>
      <c r="X39">
        <f t="shared" si="6"/>
        <v>2.3764768089115096E-2</v>
      </c>
      <c r="Y39">
        <f t="shared" si="7"/>
        <v>5.6942916157927279E-2</v>
      </c>
      <c r="Z39">
        <f t="shared" si="8"/>
        <v>2.5739023142129915E-2</v>
      </c>
      <c r="AA39">
        <f t="shared" si="9"/>
        <v>6.646965680416928E-3</v>
      </c>
      <c r="AB39">
        <f t="shared" si="10"/>
        <v>6.9634611302516539E-2</v>
      </c>
      <c r="AC39">
        <f t="shared" si="11"/>
        <v>2.4270645577594983E-2</v>
      </c>
      <c r="AE39" s="2">
        <f t="shared" si="24"/>
        <v>37987</v>
      </c>
      <c r="AF39" t="s">
        <v>8</v>
      </c>
      <c r="AG39">
        <f t="shared" ref="AG39:AM39" si="51">SQRT(AVERAGE(W28:W39))</f>
        <v>0.25672559319425708</v>
      </c>
      <c r="AH39">
        <f t="shared" si="51"/>
        <v>0.27971932541412342</v>
      </c>
      <c r="AI39">
        <f t="shared" si="51"/>
        <v>0.25827629490075438</v>
      </c>
      <c r="AJ39">
        <f t="shared" si="51"/>
        <v>0.27892841037654936</v>
      </c>
      <c r="AK39">
        <f t="shared" si="51"/>
        <v>0.32351843519039092</v>
      </c>
      <c r="AL39">
        <f t="shared" si="51"/>
        <v>0.35735792949261314</v>
      </c>
      <c r="AM39">
        <f t="shared" si="51"/>
        <v>0.26550805769581204</v>
      </c>
    </row>
    <row r="40" spans="1:39" x14ac:dyDescent="0.3">
      <c r="A40" s="2">
        <f t="shared" si="21"/>
        <v>38018</v>
      </c>
      <c r="B40">
        <v>0.21447729401335991</v>
      </c>
      <c r="C40">
        <v>0.2890687818547607</v>
      </c>
      <c r="D40">
        <v>0.27900029289344769</v>
      </c>
      <c r="E40">
        <v>0.28906284124885412</v>
      </c>
      <c r="F40">
        <v>0.43033955600533252</v>
      </c>
      <c r="G40">
        <v>0.3489647495352815</v>
      </c>
      <c r="H40">
        <v>0.2229620047854434</v>
      </c>
      <c r="I40">
        <v>0.28385074197792781</v>
      </c>
      <c r="K40" s="2">
        <f t="shared" si="22"/>
        <v>38018</v>
      </c>
      <c r="L40" t="s">
        <v>8</v>
      </c>
      <c r="M40">
        <f t="shared" si="18"/>
        <v>7.4591487841400794E-2</v>
      </c>
      <c r="N40">
        <f t="shared" si="0"/>
        <v>6.4522998880087779E-2</v>
      </c>
      <c r="O40">
        <f t="shared" si="1"/>
        <v>7.458554723549421E-2</v>
      </c>
      <c r="P40">
        <f t="shared" si="2"/>
        <v>0.21586226199197261</v>
      </c>
      <c r="Q40">
        <f t="shared" si="3"/>
        <v>0.1344874555219216</v>
      </c>
      <c r="R40">
        <f t="shared" si="4"/>
        <v>8.4847107720834869E-3</v>
      </c>
      <c r="S40">
        <f t="shared" si="5"/>
        <v>6.9373447964567903E-2</v>
      </c>
      <c r="U40" s="2">
        <f t="shared" si="23"/>
        <v>38018</v>
      </c>
      <c r="V40" t="s">
        <v>8</v>
      </c>
      <c r="W40">
        <f t="shared" si="19"/>
        <v>5.5638900583938429E-3</v>
      </c>
      <c r="X40">
        <f t="shared" si="6"/>
        <v>4.1632173844798085E-3</v>
      </c>
      <c r="Y40">
        <f t="shared" si="7"/>
        <v>5.5630038564181382E-3</v>
      </c>
      <c r="Z40">
        <f t="shared" si="8"/>
        <v>4.6596516152291025E-2</v>
      </c>
      <c r="AA40">
        <f t="shared" si="9"/>
        <v>1.8086875692760841E-2</v>
      </c>
      <c r="AB40">
        <f t="shared" si="10"/>
        <v>7.1990316885909555E-5</v>
      </c>
      <c r="AC40">
        <f t="shared" si="11"/>
        <v>4.8126752824926107E-3</v>
      </c>
      <c r="AE40" s="2">
        <f t="shared" si="24"/>
        <v>38018</v>
      </c>
      <c r="AF40" t="s">
        <v>8</v>
      </c>
      <c r="AG40">
        <f t="shared" ref="AG40:AM40" si="52">SQRT(AVERAGE(W29:W40))</f>
        <v>0.24995992638807604</v>
      </c>
      <c r="AH40">
        <f t="shared" si="52"/>
        <v>0.27041328960253391</v>
      </c>
      <c r="AI40">
        <f t="shared" si="52"/>
        <v>0.25183163571580536</v>
      </c>
      <c r="AJ40">
        <f t="shared" si="52"/>
        <v>0.28412801150869088</v>
      </c>
      <c r="AK40">
        <f t="shared" si="52"/>
        <v>0.32104268810196823</v>
      </c>
      <c r="AL40">
        <f t="shared" si="52"/>
        <v>0.34381894581728006</v>
      </c>
      <c r="AM40">
        <f t="shared" si="52"/>
        <v>0.25411260710745409</v>
      </c>
    </row>
    <row r="41" spans="1:39" x14ac:dyDescent="0.3">
      <c r="A41" s="2">
        <f t="shared" si="21"/>
        <v>38047</v>
      </c>
      <c r="B41">
        <v>0.21401827323677131</v>
      </c>
      <c r="C41">
        <v>0.25570038906056042</v>
      </c>
      <c r="D41">
        <v>0.27089447587003479</v>
      </c>
      <c r="E41">
        <v>0.26215337055189331</v>
      </c>
      <c r="F41">
        <v>0.21447729401335991</v>
      </c>
      <c r="G41">
        <v>0.34871099961920238</v>
      </c>
      <c r="H41">
        <v>0.28185642743531247</v>
      </c>
      <c r="I41">
        <v>0.25272190002638389</v>
      </c>
      <c r="K41" s="2">
        <f t="shared" si="22"/>
        <v>38047</v>
      </c>
      <c r="L41" t="s">
        <v>8</v>
      </c>
      <c r="M41">
        <f t="shared" si="18"/>
        <v>4.1682115823789112E-2</v>
      </c>
      <c r="N41">
        <f t="shared" si="0"/>
        <v>5.6876202633263484E-2</v>
      </c>
      <c r="O41">
        <f t="shared" si="1"/>
        <v>4.8135097315122E-2</v>
      </c>
      <c r="P41">
        <f t="shared" si="2"/>
        <v>4.5902077658860341E-4</v>
      </c>
      <c r="Q41">
        <f t="shared" si="3"/>
        <v>0.13469272638243107</v>
      </c>
      <c r="R41">
        <f t="shared" si="4"/>
        <v>6.7838154198541167E-2</v>
      </c>
      <c r="S41">
        <f t="shared" si="5"/>
        <v>3.8703626789612589E-2</v>
      </c>
      <c r="U41" s="2">
        <f t="shared" si="23"/>
        <v>38047</v>
      </c>
      <c r="V41" t="s">
        <v>8</v>
      </c>
      <c r="W41">
        <f t="shared" si="19"/>
        <v>1.7373987795477708E-3</v>
      </c>
      <c r="X41">
        <f t="shared" si="6"/>
        <v>3.2349024259800481E-3</v>
      </c>
      <c r="Y41">
        <f t="shared" si="7"/>
        <v>2.3169875935362652E-3</v>
      </c>
      <c r="Z41">
        <f t="shared" si="8"/>
        <v>2.1070007334000456E-7</v>
      </c>
      <c r="AA41">
        <f t="shared" si="9"/>
        <v>1.8142130540332445E-2</v>
      </c>
      <c r="AB41">
        <f t="shared" si="10"/>
        <v>4.6020151650650485E-3</v>
      </c>
      <c r="AC41">
        <f t="shared" si="11"/>
        <v>1.4979707266696172E-3</v>
      </c>
      <c r="AE41" s="2">
        <f t="shared" si="24"/>
        <v>38047</v>
      </c>
      <c r="AF41" t="s">
        <v>8</v>
      </c>
      <c r="AG41">
        <f t="shared" ref="AG41:AM41" si="53">SQRT(AVERAGE(W30:W41))</f>
        <v>0.24334097040193989</v>
      </c>
      <c r="AH41">
        <f t="shared" si="53"/>
        <v>0.2672362760263115</v>
      </c>
      <c r="AI41">
        <f t="shared" si="53"/>
        <v>0.24514347440677395</v>
      </c>
      <c r="AJ41">
        <f t="shared" si="53"/>
        <v>0.26174789159095641</v>
      </c>
      <c r="AK41">
        <f t="shared" si="53"/>
        <v>0.31868900015668661</v>
      </c>
      <c r="AL41">
        <f t="shared" si="53"/>
        <v>0.34145776867314104</v>
      </c>
      <c r="AM41">
        <f t="shared" si="53"/>
        <v>0.25003098725472372</v>
      </c>
    </row>
    <row r="42" spans="1:39" x14ac:dyDescent="0.3">
      <c r="A42" s="2">
        <f t="shared" si="21"/>
        <v>38078</v>
      </c>
      <c r="B42">
        <v>0.160213652427732</v>
      </c>
      <c r="C42">
        <v>0.27104285800697958</v>
      </c>
      <c r="D42">
        <v>0.23330932533831791</v>
      </c>
      <c r="E42">
        <v>0.26522180777671028</v>
      </c>
      <c r="F42">
        <v>0.21401827323677131</v>
      </c>
      <c r="G42">
        <v>0.34845734100077969</v>
      </c>
      <c r="H42">
        <v>0.26261782743851608</v>
      </c>
      <c r="I42">
        <v>0.27544789219151589</v>
      </c>
      <c r="K42" s="2">
        <f t="shared" si="22"/>
        <v>38078</v>
      </c>
      <c r="L42" t="s">
        <v>8</v>
      </c>
      <c r="M42">
        <f t="shared" si="18"/>
        <v>0.11082920557924758</v>
      </c>
      <c r="N42">
        <f t="shared" si="0"/>
        <v>7.3095672910585913E-2</v>
      </c>
      <c r="O42">
        <f t="shared" si="1"/>
        <v>0.10500815534897828</v>
      </c>
      <c r="P42">
        <f t="shared" si="2"/>
        <v>5.3804620809039305E-2</v>
      </c>
      <c r="Q42">
        <f t="shared" si="3"/>
        <v>0.18824368857304768</v>
      </c>
      <c r="R42">
        <f t="shared" si="4"/>
        <v>0.10240417501078408</v>
      </c>
      <c r="S42">
        <f t="shared" si="5"/>
        <v>0.11523423976378389</v>
      </c>
      <c r="U42" s="2">
        <f t="shared" si="23"/>
        <v>38078</v>
      </c>
      <c r="V42" t="s">
        <v>8</v>
      </c>
      <c r="W42">
        <f t="shared" si="19"/>
        <v>1.2283112809327123E-2</v>
      </c>
      <c r="X42">
        <f t="shared" si="6"/>
        <v>5.3429773982513629E-3</v>
      </c>
      <c r="Y42">
        <f t="shared" si="7"/>
        <v>1.1026712689795156E-2</v>
      </c>
      <c r="Z42">
        <f t="shared" si="8"/>
        <v>2.8949372204045056E-3</v>
      </c>
      <c r="AA42">
        <f t="shared" si="9"/>
        <v>3.5435686287586567E-2</v>
      </c>
      <c r="AB42">
        <f t="shared" si="10"/>
        <v>1.0486615059639295E-2</v>
      </c>
      <c r="AC42">
        <f t="shared" si="11"/>
        <v>1.3278930013937231E-2</v>
      </c>
      <c r="AE42" s="2">
        <f t="shared" si="24"/>
        <v>38078</v>
      </c>
      <c r="AF42" t="s">
        <v>8</v>
      </c>
      <c r="AG42">
        <f t="shared" ref="AG42:AM42" si="54">SQRT(AVERAGE(W31:W42))</f>
        <v>0.1585612674471516</v>
      </c>
      <c r="AH42">
        <f t="shared" si="54"/>
        <v>0.17360146706213</v>
      </c>
      <c r="AI42">
        <f t="shared" si="54"/>
        <v>0.15872947333384985</v>
      </c>
      <c r="AJ42">
        <f t="shared" si="54"/>
        <v>0.20984379770118525</v>
      </c>
      <c r="AK42">
        <f t="shared" si="54"/>
        <v>0.24403075407917268</v>
      </c>
      <c r="AL42">
        <f t="shared" si="54"/>
        <v>0.25805156254809458</v>
      </c>
      <c r="AM42">
        <f t="shared" si="54"/>
        <v>0.16737841583008811</v>
      </c>
    </row>
    <row r="43" spans="1:39" x14ac:dyDescent="0.3">
      <c r="A43" s="2">
        <f t="shared" si="21"/>
        <v>38108</v>
      </c>
      <c r="B43">
        <v>0.42598573469581069</v>
      </c>
      <c r="C43">
        <v>0.28916320287522052</v>
      </c>
      <c r="D43">
        <v>0.33915907906553278</v>
      </c>
      <c r="E43">
        <v>0.29691510674490812</v>
      </c>
      <c r="F43">
        <v>0.160213652427732</v>
      </c>
      <c r="G43">
        <v>0.34810349948090558</v>
      </c>
      <c r="H43">
        <v>0.27290138382653978</v>
      </c>
      <c r="I43">
        <v>0.28031764979727047</v>
      </c>
      <c r="K43" s="2">
        <f t="shared" si="22"/>
        <v>38108</v>
      </c>
      <c r="L43" t="s">
        <v>8</v>
      </c>
      <c r="M43">
        <f t="shared" si="18"/>
        <v>0.13682253182059018</v>
      </c>
      <c r="N43">
        <f t="shared" si="0"/>
        <v>8.6826655630277916E-2</v>
      </c>
      <c r="O43">
        <f t="shared" si="1"/>
        <v>0.12907062795090257</v>
      </c>
      <c r="P43">
        <f t="shared" si="2"/>
        <v>0.26577208226807869</v>
      </c>
      <c r="Q43">
        <f t="shared" si="3"/>
        <v>7.7882235214905116E-2</v>
      </c>
      <c r="R43">
        <f t="shared" si="4"/>
        <v>0.15308435086927091</v>
      </c>
      <c r="S43">
        <f t="shared" si="5"/>
        <v>0.14566808489854022</v>
      </c>
      <c r="U43" s="2">
        <f t="shared" si="23"/>
        <v>38108</v>
      </c>
      <c r="V43" t="s">
        <v>8</v>
      </c>
      <c r="W43">
        <f t="shared" si="19"/>
        <v>1.872040521379641E-2</v>
      </c>
      <c r="X43">
        <f t="shared" si="6"/>
        <v>7.538868127938872E-3</v>
      </c>
      <c r="Y43">
        <f t="shared" si="7"/>
        <v>1.6659226999640311E-2</v>
      </c>
      <c r="Z43">
        <f t="shared" si="8"/>
        <v>7.0634799713110388E-2</v>
      </c>
      <c r="AA43">
        <f t="shared" si="9"/>
        <v>6.0656425620698061E-3</v>
      </c>
      <c r="AB43">
        <f t="shared" si="10"/>
        <v>2.3434818481066048E-2</v>
      </c>
      <c r="AC43">
        <f t="shared" si="11"/>
        <v>2.1219190958008321E-2</v>
      </c>
      <c r="AE43" s="2">
        <f t="shared" si="24"/>
        <v>38108</v>
      </c>
      <c r="AF43" t="s">
        <v>8</v>
      </c>
      <c r="AG43">
        <f t="shared" ref="AG43:AM43" si="55">SQRT(AVERAGE(W32:W43))</f>
        <v>0.15574295429066945</v>
      </c>
      <c r="AH43">
        <f t="shared" si="55"/>
        <v>0.1525090570593636</v>
      </c>
      <c r="AI43">
        <f t="shared" si="55"/>
        <v>0.15514021831315128</v>
      </c>
      <c r="AJ43">
        <f t="shared" si="55"/>
        <v>0.21442773501384288</v>
      </c>
      <c r="AK43">
        <f t="shared" si="55"/>
        <v>0.1946717249724608</v>
      </c>
      <c r="AL43">
        <f t="shared" si="55"/>
        <v>0.22562312594274161</v>
      </c>
      <c r="AM43">
        <f t="shared" si="55"/>
        <v>0.15239831291122219</v>
      </c>
    </row>
    <row r="44" spans="1:39" x14ac:dyDescent="0.3">
      <c r="A44" s="2">
        <f t="shared" si="21"/>
        <v>38139</v>
      </c>
      <c r="B44">
        <v>0.37125473561845368</v>
      </c>
      <c r="C44">
        <v>0.37364252928754799</v>
      </c>
      <c r="D44">
        <v>0.34930300803276082</v>
      </c>
      <c r="E44">
        <v>0.373937491551462</v>
      </c>
      <c r="F44">
        <v>0.42598573469581069</v>
      </c>
      <c r="G44">
        <v>0.34824961999725629</v>
      </c>
      <c r="H44">
        <v>0.25099907991051712</v>
      </c>
      <c r="I44">
        <v>0.31273325075734959</v>
      </c>
      <c r="K44" s="2">
        <f t="shared" si="22"/>
        <v>38139</v>
      </c>
      <c r="L44" t="s">
        <v>8</v>
      </c>
      <c r="M44">
        <f t="shared" si="18"/>
        <v>2.3877936690943069E-3</v>
      </c>
      <c r="N44">
        <f t="shared" si="0"/>
        <v>2.195172758569286E-2</v>
      </c>
      <c r="O44">
        <f t="shared" si="1"/>
        <v>2.6827559330083184E-3</v>
      </c>
      <c r="P44">
        <f t="shared" si="2"/>
        <v>5.4730999077357012E-2</v>
      </c>
      <c r="Q44">
        <f t="shared" si="3"/>
        <v>2.3005115621197392E-2</v>
      </c>
      <c r="R44">
        <f t="shared" si="4"/>
        <v>0.12025565570793656</v>
      </c>
      <c r="S44">
        <f t="shared" si="5"/>
        <v>5.8521484861104089E-2</v>
      </c>
      <c r="U44" s="2">
        <f t="shared" si="23"/>
        <v>38139</v>
      </c>
      <c r="V44" t="s">
        <v>8</v>
      </c>
      <c r="W44">
        <f t="shared" si="19"/>
        <v>5.7015586061668525E-6</v>
      </c>
      <c r="X44">
        <f t="shared" si="6"/>
        <v>4.8187834399646888E-4</v>
      </c>
      <c r="Y44">
        <f t="shared" si="7"/>
        <v>7.1971793960913327E-6</v>
      </c>
      <c r="Z44">
        <f t="shared" si="8"/>
        <v>2.995482260005654E-3</v>
      </c>
      <c r="AA44">
        <f t="shared" si="9"/>
        <v>5.2923534474466031E-4</v>
      </c>
      <c r="AB44">
        <f t="shared" si="10"/>
        <v>1.4461422729745774E-2</v>
      </c>
      <c r="AC44">
        <f t="shared" si="11"/>
        <v>3.4247641903484352E-3</v>
      </c>
      <c r="AE44" s="2">
        <f t="shared" si="24"/>
        <v>38139</v>
      </c>
      <c r="AF44" t="s">
        <v>8</v>
      </c>
      <c r="AG44">
        <f t="shared" ref="AG44:AM44" si="56">SQRT(AVERAGE(W33:W44))</f>
        <v>0.15549378234853781</v>
      </c>
      <c r="AH44">
        <f t="shared" si="56"/>
        <v>0.15263237556115153</v>
      </c>
      <c r="AI44">
        <f t="shared" si="56"/>
        <v>0.15480839975177488</v>
      </c>
      <c r="AJ44">
        <f t="shared" si="56"/>
        <v>0.20002491259396982</v>
      </c>
      <c r="AK44">
        <f t="shared" si="56"/>
        <v>0.18188201319000433</v>
      </c>
      <c r="AL44">
        <f t="shared" si="56"/>
        <v>0.22783054427079269</v>
      </c>
      <c r="AM44">
        <f t="shared" si="56"/>
        <v>0.15233477316801042</v>
      </c>
    </row>
    <row r="45" spans="1:39" x14ac:dyDescent="0.3">
      <c r="A45" s="2">
        <f t="shared" si="21"/>
        <v>38169</v>
      </c>
      <c r="B45">
        <v>0.1058201156947547</v>
      </c>
      <c r="C45">
        <v>0.23923648456907071</v>
      </c>
      <c r="D45">
        <v>0.32082225820724958</v>
      </c>
      <c r="E45">
        <v>0.2371092311308361</v>
      </c>
      <c r="F45">
        <v>0.37125473561845368</v>
      </c>
      <c r="G45">
        <v>0.34829270073812002</v>
      </c>
      <c r="H45">
        <v>0.32304474543471079</v>
      </c>
      <c r="I45">
        <v>0.2627593909496691</v>
      </c>
      <c r="K45" s="2">
        <f t="shared" si="22"/>
        <v>38169</v>
      </c>
      <c r="L45" t="s">
        <v>8</v>
      </c>
      <c r="M45">
        <f t="shared" si="18"/>
        <v>0.13341636887431602</v>
      </c>
      <c r="N45">
        <f t="shared" si="0"/>
        <v>0.21500214251249489</v>
      </c>
      <c r="O45">
        <f t="shared" si="1"/>
        <v>0.1312891154360814</v>
      </c>
      <c r="P45">
        <f t="shared" si="2"/>
        <v>0.26543461992369899</v>
      </c>
      <c r="Q45">
        <f t="shared" si="3"/>
        <v>0.24247258504336533</v>
      </c>
      <c r="R45">
        <f t="shared" si="4"/>
        <v>0.2172246297399561</v>
      </c>
      <c r="S45">
        <f t="shared" si="5"/>
        <v>0.15693927525491441</v>
      </c>
      <c r="U45" s="2">
        <f t="shared" si="23"/>
        <v>38169</v>
      </c>
      <c r="V45" t="s">
        <v>8</v>
      </c>
      <c r="W45">
        <f t="shared" si="19"/>
        <v>1.779992748360756E-2</v>
      </c>
      <c r="X45">
        <f t="shared" si="6"/>
        <v>4.622592128496316E-2</v>
      </c>
      <c r="Y45">
        <f t="shared" si="7"/>
        <v>1.7236831831988708E-2</v>
      </c>
      <c r="Z45">
        <f t="shared" si="8"/>
        <v>7.0455537454038542E-2</v>
      </c>
      <c r="AA45">
        <f t="shared" si="9"/>
        <v>5.8792954497612029E-2</v>
      </c>
      <c r="AB45">
        <f t="shared" si="10"/>
        <v>4.718653976566102E-2</v>
      </c>
      <c r="AC45">
        <f t="shared" si="11"/>
        <v>2.462993611753779E-2</v>
      </c>
      <c r="AE45" s="2">
        <f t="shared" si="24"/>
        <v>38169</v>
      </c>
      <c r="AF45" t="s">
        <v>8</v>
      </c>
      <c r="AG45">
        <f t="shared" ref="AG45:AM45" si="57">SQRT(AVERAGE(W34:W45))</f>
        <v>0.15352499098989558</v>
      </c>
      <c r="AH45">
        <f t="shared" si="57"/>
        <v>0.15909370284491431</v>
      </c>
      <c r="AI45">
        <f t="shared" si="57"/>
        <v>0.15228488551761377</v>
      </c>
      <c r="AJ45">
        <f t="shared" si="57"/>
        <v>0.20475803145998314</v>
      </c>
      <c r="AK45">
        <f t="shared" si="57"/>
        <v>0.19477098769687962</v>
      </c>
      <c r="AL45">
        <f t="shared" si="57"/>
        <v>0.21968404699308733</v>
      </c>
      <c r="AM45">
        <f t="shared" si="57"/>
        <v>0.1573027651337974</v>
      </c>
    </row>
    <row r="46" spans="1:39" x14ac:dyDescent="0.3">
      <c r="A46" s="2">
        <f t="shared" si="21"/>
        <v>38200</v>
      </c>
      <c r="B46">
        <v>5.2868095336577881E-2</v>
      </c>
      <c r="C46">
        <v>0.25647526947470078</v>
      </c>
      <c r="D46">
        <v>0.25636548088019501</v>
      </c>
      <c r="E46">
        <v>0.26122236285238898</v>
      </c>
      <c r="F46">
        <v>0.1058201156947547</v>
      </c>
      <c r="G46">
        <v>0.34783948095299222</v>
      </c>
      <c r="H46">
        <v>0.33693139124773569</v>
      </c>
      <c r="I46">
        <v>0.26055580424145758</v>
      </c>
      <c r="K46" s="2">
        <f t="shared" si="22"/>
        <v>38200</v>
      </c>
      <c r="L46" t="s">
        <v>8</v>
      </c>
      <c r="M46">
        <f t="shared" si="18"/>
        <v>0.2036071741381229</v>
      </c>
      <c r="N46">
        <f t="shared" si="0"/>
        <v>0.20349738554361713</v>
      </c>
      <c r="O46">
        <f t="shared" si="1"/>
        <v>0.2083542675158111</v>
      </c>
      <c r="P46">
        <f t="shared" si="2"/>
        <v>5.2952020358176824E-2</v>
      </c>
      <c r="Q46">
        <f t="shared" si="3"/>
        <v>0.29497138561641434</v>
      </c>
      <c r="R46">
        <f t="shared" si="4"/>
        <v>0.28406329591115781</v>
      </c>
      <c r="S46">
        <f t="shared" si="5"/>
        <v>0.2076877089048797</v>
      </c>
      <c r="U46" s="2">
        <f t="shared" si="23"/>
        <v>38200</v>
      </c>
      <c r="V46" t="s">
        <v>8</v>
      </c>
      <c r="W46">
        <f t="shared" si="19"/>
        <v>4.1455881360511905E-2</v>
      </c>
      <c r="X46">
        <f t="shared" si="6"/>
        <v>4.1411185923087554E-2</v>
      </c>
      <c r="Y46">
        <f t="shared" si="7"/>
        <v>4.3411500792050174E-2</v>
      </c>
      <c r="Z46">
        <f t="shared" si="8"/>
        <v>2.8039164600127727E-3</v>
      </c>
      <c r="AA46">
        <f t="shared" si="9"/>
        <v>8.700811833246741E-2</v>
      </c>
      <c r="AB46">
        <f t="shared" si="10"/>
        <v>8.0691956083909999E-2</v>
      </c>
      <c r="AC46">
        <f t="shared" si="11"/>
        <v>4.3134184430158047E-2</v>
      </c>
      <c r="AE46" s="2">
        <f t="shared" si="24"/>
        <v>38200</v>
      </c>
      <c r="AF46" t="s">
        <v>8</v>
      </c>
      <c r="AG46">
        <f t="shared" ref="AG46:AM46" si="58">SQRT(AVERAGE(W35:W46))</f>
        <v>0.14811530703697529</v>
      </c>
      <c r="AH46">
        <f t="shared" si="58"/>
        <v>0.15827189002862893</v>
      </c>
      <c r="AI46">
        <f t="shared" si="58"/>
        <v>0.14782898529654376</v>
      </c>
      <c r="AJ46">
        <f t="shared" si="58"/>
        <v>0.20297390266131002</v>
      </c>
      <c r="AK46">
        <f t="shared" si="58"/>
        <v>0.21117452844197893</v>
      </c>
      <c r="AL46">
        <f t="shared" si="58"/>
        <v>0.20890758606054388</v>
      </c>
      <c r="AM46">
        <f t="shared" si="58"/>
        <v>0.15965384839292771</v>
      </c>
    </row>
    <row r="47" spans="1:39" x14ac:dyDescent="0.3">
      <c r="A47" s="2">
        <f t="shared" si="21"/>
        <v>38231</v>
      </c>
      <c r="B47">
        <v>0.31662295580501271</v>
      </c>
      <c r="C47">
        <v>0.2271169588324165</v>
      </c>
      <c r="D47">
        <v>0.24196689469092181</v>
      </c>
      <c r="E47">
        <v>0.22891439999126201</v>
      </c>
      <c r="F47">
        <v>5.2868095336577881E-2</v>
      </c>
      <c r="G47">
        <v>0.34728916120370779</v>
      </c>
      <c r="H47">
        <v>0.23888823048311261</v>
      </c>
      <c r="I47">
        <v>0.2696283123332599</v>
      </c>
      <c r="K47" s="2">
        <f t="shared" si="22"/>
        <v>38231</v>
      </c>
      <c r="L47" t="s">
        <v>8</v>
      </c>
      <c r="M47">
        <f t="shared" si="18"/>
        <v>8.9505996972596202E-2</v>
      </c>
      <c r="N47">
        <f t="shared" si="0"/>
        <v>7.4656061114090899E-2</v>
      </c>
      <c r="O47">
        <f t="shared" si="1"/>
        <v>8.7708555813750699E-2</v>
      </c>
      <c r="P47">
        <f t="shared" si="2"/>
        <v>0.26375486046843483</v>
      </c>
      <c r="Q47">
        <f t="shared" si="3"/>
        <v>3.0666205398695079E-2</v>
      </c>
      <c r="R47">
        <f t="shared" si="4"/>
        <v>7.7734725321900094E-2</v>
      </c>
      <c r="S47">
        <f t="shared" si="5"/>
        <v>4.6994643471752806E-2</v>
      </c>
      <c r="U47" s="2">
        <f t="shared" si="23"/>
        <v>38231</v>
      </c>
      <c r="V47" t="s">
        <v>8</v>
      </c>
      <c r="W47">
        <f t="shared" si="19"/>
        <v>8.0113234940584008E-3</v>
      </c>
      <c r="X47">
        <f t="shared" si="6"/>
        <v>5.5735274610708751E-3</v>
      </c>
      <c r="Y47">
        <f t="shared" si="7"/>
        <v>7.6927907629338217E-3</v>
      </c>
      <c r="Z47">
        <f t="shared" si="8"/>
        <v>6.9566626420723518E-2</v>
      </c>
      <c r="AA47">
        <f t="shared" si="9"/>
        <v>9.4041615355495523E-4</v>
      </c>
      <c r="AB47">
        <f t="shared" si="10"/>
        <v>6.0426875208712556E-3</v>
      </c>
      <c r="AC47">
        <f t="shared" si="11"/>
        <v>2.2084965150371587E-3</v>
      </c>
      <c r="AE47" s="2">
        <f t="shared" si="24"/>
        <v>38231</v>
      </c>
      <c r="AF47" t="s">
        <v>8</v>
      </c>
      <c r="AG47">
        <f t="shared" ref="AG47:AM47" si="59">SQRT(AVERAGE(W36:W47))</f>
        <v>0.14908758578361073</v>
      </c>
      <c r="AH47">
        <f t="shared" si="59"/>
        <v>0.158015518973114</v>
      </c>
      <c r="AI47">
        <f t="shared" si="59"/>
        <v>0.14860229678196418</v>
      </c>
      <c r="AJ47">
        <f t="shared" si="59"/>
        <v>0.21445196399144872</v>
      </c>
      <c r="AK47">
        <f t="shared" si="59"/>
        <v>0.21122908186583619</v>
      </c>
      <c r="AL47">
        <f t="shared" si="59"/>
        <v>0.2043102386033627</v>
      </c>
      <c r="AM47">
        <f t="shared" si="59"/>
        <v>0.15990443502466151</v>
      </c>
    </row>
    <row r="48" spans="1:39" x14ac:dyDescent="0.3">
      <c r="A48" s="2">
        <f t="shared" si="21"/>
        <v>38261</v>
      </c>
      <c r="B48">
        <v>0.52548728383587928</v>
      </c>
      <c r="C48">
        <v>0.25761803250645499</v>
      </c>
      <c r="D48">
        <v>0.25811345628845961</v>
      </c>
      <c r="E48">
        <v>0.26486635356659533</v>
      </c>
      <c r="F48">
        <v>0.31662295580501271</v>
      </c>
      <c r="G48">
        <v>0.34723205467596352</v>
      </c>
      <c r="H48">
        <v>0.20556132696525159</v>
      </c>
      <c r="I48">
        <v>0.26328519347272089</v>
      </c>
      <c r="K48" s="2">
        <f t="shared" si="22"/>
        <v>38261</v>
      </c>
      <c r="L48" t="s">
        <v>8</v>
      </c>
      <c r="M48">
        <f t="shared" si="18"/>
        <v>0.2678692513294243</v>
      </c>
      <c r="N48">
        <f t="shared" si="0"/>
        <v>0.26737382754741967</v>
      </c>
      <c r="O48">
        <f t="shared" si="1"/>
        <v>0.26062093026928396</v>
      </c>
      <c r="P48">
        <f t="shared" si="2"/>
        <v>0.20886432803086658</v>
      </c>
      <c r="Q48">
        <f t="shared" si="3"/>
        <v>0.17825522915991576</v>
      </c>
      <c r="R48">
        <f t="shared" si="4"/>
        <v>0.31992595687062769</v>
      </c>
      <c r="S48">
        <f t="shared" si="5"/>
        <v>0.26220209036315839</v>
      </c>
      <c r="U48" s="2">
        <f t="shared" si="23"/>
        <v>38261</v>
      </c>
      <c r="V48" t="s">
        <v>8</v>
      </c>
      <c r="W48">
        <f t="shared" si="19"/>
        <v>7.1753935807786273E-2</v>
      </c>
      <c r="X48">
        <f t="shared" si="6"/>
        <v>7.1488763657357318E-2</v>
      </c>
      <c r="Y48">
        <f t="shared" si="7"/>
        <v>6.7923269294426977E-2</v>
      </c>
      <c r="Z48">
        <f t="shared" si="8"/>
        <v>4.362430752378544E-2</v>
      </c>
      <c r="AA48">
        <f t="shared" si="9"/>
        <v>3.1774926722854084E-2</v>
      </c>
      <c r="AB48">
        <f t="shared" si="10"/>
        <v>0.10235261787958673</v>
      </c>
      <c r="AC48">
        <f t="shared" si="11"/>
        <v>6.8749936190809879E-2</v>
      </c>
      <c r="AE48" s="2">
        <f t="shared" si="24"/>
        <v>38261</v>
      </c>
      <c r="AF48" t="s">
        <v>8</v>
      </c>
      <c r="AG48">
        <f t="shared" ref="AG48:AM48" si="60">SQRT(AVERAGE(W37:W48))</f>
        <v>0.15024874051345138</v>
      </c>
      <c r="AH48">
        <f t="shared" si="60"/>
        <v>0.14560338093527944</v>
      </c>
      <c r="AI48">
        <f t="shared" si="60"/>
        <v>0.14908897342376529</v>
      </c>
      <c r="AJ48">
        <f t="shared" si="60"/>
        <v>0.18443569117847888</v>
      </c>
      <c r="AK48">
        <f t="shared" si="60"/>
        <v>0.17247334641201964</v>
      </c>
      <c r="AL48">
        <f t="shared" si="60"/>
        <v>0.19191148737627492</v>
      </c>
      <c r="AM48">
        <f t="shared" si="60"/>
        <v>0.13867032047335659</v>
      </c>
    </row>
    <row r="49" spans="1:39" x14ac:dyDescent="0.3">
      <c r="A49" s="2">
        <f t="shared" si="21"/>
        <v>38292</v>
      </c>
      <c r="B49">
        <v>0.47058910374122581</v>
      </c>
      <c r="C49">
        <v>0.40746985255330659</v>
      </c>
      <c r="D49">
        <v>0.33312198007891108</v>
      </c>
      <c r="E49">
        <v>0.40586416148752152</v>
      </c>
      <c r="F49">
        <v>0.52548728383587928</v>
      </c>
      <c r="G49">
        <v>0.34756338409819382</v>
      </c>
      <c r="H49">
        <v>0.27203675456497922</v>
      </c>
      <c r="I49">
        <v>0.3056436139313049</v>
      </c>
      <c r="K49" s="2">
        <f t="shared" si="22"/>
        <v>38292</v>
      </c>
      <c r="L49" t="s">
        <v>8</v>
      </c>
      <c r="M49">
        <f t="shared" si="18"/>
        <v>6.3119251187919223E-2</v>
      </c>
      <c r="N49">
        <f t="shared" si="0"/>
        <v>0.13746712366231473</v>
      </c>
      <c r="O49">
        <f t="shared" si="1"/>
        <v>6.4724942253704287E-2</v>
      </c>
      <c r="P49">
        <f t="shared" si="2"/>
        <v>5.489818009465347E-2</v>
      </c>
      <c r="Q49">
        <f t="shared" si="3"/>
        <v>0.12302571964303199</v>
      </c>
      <c r="R49">
        <f t="shared" si="4"/>
        <v>0.19855234917624659</v>
      </c>
      <c r="S49">
        <f t="shared" si="5"/>
        <v>0.16494548980992091</v>
      </c>
      <c r="U49" s="2">
        <f t="shared" si="23"/>
        <v>38292</v>
      </c>
      <c r="V49" t="s">
        <v>8</v>
      </c>
      <c r="W49">
        <f t="shared" si="19"/>
        <v>3.9840398705236419E-3</v>
      </c>
      <c r="X49">
        <f t="shared" si="6"/>
        <v>1.889721008799013E-2</v>
      </c>
      <c r="Y49">
        <f t="shared" si="7"/>
        <v>4.189318149745355E-3</v>
      </c>
      <c r="Z49">
        <f t="shared" si="8"/>
        <v>3.0138101777050065E-3</v>
      </c>
      <c r="AA49">
        <f t="shared" si="9"/>
        <v>1.5135327693685908E-2</v>
      </c>
      <c r="AB49">
        <f t="shared" si="10"/>
        <v>3.9423035363406148E-2</v>
      </c>
      <c r="AC49">
        <f t="shared" si="11"/>
        <v>2.7207014608634724E-2</v>
      </c>
      <c r="AE49" s="2">
        <f t="shared" si="24"/>
        <v>38292</v>
      </c>
      <c r="AF49" t="s">
        <v>8</v>
      </c>
      <c r="AG49">
        <f t="shared" ref="AG49:AM49" si="61">SQRT(AVERAGE(W38:W49))</f>
        <v>0.14252066757452503</v>
      </c>
      <c r="AH49">
        <f t="shared" si="61"/>
        <v>0.13798160156732103</v>
      </c>
      <c r="AI49">
        <f t="shared" si="61"/>
        <v>0.14060431098932713</v>
      </c>
      <c r="AJ49">
        <f t="shared" si="61"/>
        <v>0.17909745718680495</v>
      </c>
      <c r="AK49">
        <f t="shared" si="61"/>
        <v>0.15405840843725949</v>
      </c>
      <c r="AL49">
        <f t="shared" si="61"/>
        <v>0.18468008738264519</v>
      </c>
      <c r="AM49">
        <f t="shared" si="61"/>
        <v>0.13999869200980355</v>
      </c>
    </row>
    <row r="50" spans="1:39" x14ac:dyDescent="0.3">
      <c r="A50" s="2">
        <f t="shared" si="21"/>
        <v>38322</v>
      </c>
      <c r="B50">
        <v>0</v>
      </c>
      <c r="C50">
        <v>0.30253616662249072</v>
      </c>
      <c r="D50">
        <v>0.35900476594565128</v>
      </c>
      <c r="E50">
        <v>0.3054713182003978</v>
      </c>
      <c r="F50">
        <v>0.47058910374122581</v>
      </c>
      <c r="G50">
        <v>0.34779163218658532</v>
      </c>
      <c r="H50">
        <v>0.35936615964446111</v>
      </c>
      <c r="I50">
        <v>0.28654635010134011</v>
      </c>
      <c r="K50" s="2">
        <f t="shared" si="22"/>
        <v>38322</v>
      </c>
      <c r="L50" t="s">
        <v>8</v>
      </c>
      <c r="M50">
        <f t="shared" si="18"/>
        <v>0.30253616662249072</v>
      </c>
      <c r="N50">
        <f t="shared" si="0"/>
        <v>0.35900476594565128</v>
      </c>
      <c r="O50">
        <f t="shared" si="1"/>
        <v>0.3054713182003978</v>
      </c>
      <c r="P50">
        <f t="shared" si="2"/>
        <v>0.47058910374122581</v>
      </c>
      <c r="Q50">
        <f t="shared" si="3"/>
        <v>0.34779163218658532</v>
      </c>
      <c r="R50">
        <f t="shared" si="4"/>
        <v>0.35936615964446111</v>
      </c>
      <c r="S50">
        <f t="shared" si="5"/>
        <v>0.28654635010134011</v>
      </c>
      <c r="U50" s="2">
        <f t="shared" si="23"/>
        <v>38322</v>
      </c>
      <c r="V50" t="s">
        <v>8</v>
      </c>
      <c r="W50">
        <f t="shared" si="19"/>
        <v>9.1528132114631469E-2</v>
      </c>
      <c r="X50">
        <f t="shared" si="6"/>
        <v>0.12888442197169186</v>
      </c>
      <c r="Y50">
        <f t="shared" si="7"/>
        <v>9.3312726243088687E-2</v>
      </c>
      <c r="Z50">
        <f t="shared" si="8"/>
        <v>0.22145410455997019</v>
      </c>
      <c r="AA50">
        <f t="shared" si="9"/>
        <v>0.12095901941900905</v>
      </c>
      <c r="AB50">
        <f t="shared" si="10"/>
        <v>0.12914403669760832</v>
      </c>
      <c r="AC50">
        <f t="shared" si="11"/>
        <v>8.210881075639978E-2</v>
      </c>
      <c r="AE50" s="2">
        <f t="shared" si="24"/>
        <v>38322</v>
      </c>
      <c r="AF50" t="s">
        <v>8</v>
      </c>
      <c r="AG50">
        <f t="shared" ref="AG50:AM50" si="62">SQRT(AVERAGE(W39:W50))</f>
        <v>0.16584650067894491</v>
      </c>
      <c r="AH50">
        <f t="shared" si="62"/>
        <v>0.17248372922199612</v>
      </c>
      <c r="AI50">
        <f t="shared" si="62"/>
        <v>0.16489453234086401</v>
      </c>
      <c r="AJ50">
        <f t="shared" si="62"/>
        <v>0.21598211187199629</v>
      </c>
      <c r="AK50">
        <f t="shared" si="62"/>
        <v>0.18246399163649948</v>
      </c>
      <c r="AL50">
        <f t="shared" si="62"/>
        <v>0.20966885525473297</v>
      </c>
      <c r="AM50">
        <f t="shared" si="62"/>
        <v>0.16241473541718965</v>
      </c>
    </row>
    <row r="51" spans="1:39" x14ac:dyDescent="0.3">
      <c r="A51" s="2">
        <f t="shared" si="21"/>
        <v>38353</v>
      </c>
      <c r="B51">
        <v>-5.2178451483886328E-2</v>
      </c>
      <c r="C51">
        <v>0.18241555861043551</v>
      </c>
      <c r="D51">
        <v>0.28049764634068602</v>
      </c>
      <c r="E51">
        <v>0.1818764708556618</v>
      </c>
      <c r="F51">
        <v>0</v>
      </c>
      <c r="G51">
        <v>0.34714757360846199</v>
      </c>
      <c r="H51">
        <v>0.38605716102300969</v>
      </c>
      <c r="I51">
        <v>0.16184165954192289</v>
      </c>
      <c r="K51" s="2">
        <f t="shared" si="22"/>
        <v>38353</v>
      </c>
      <c r="L51" t="s">
        <v>8</v>
      </c>
      <c r="M51">
        <f t="shared" si="18"/>
        <v>0.23459401009432185</v>
      </c>
      <c r="N51">
        <f t="shared" si="0"/>
        <v>0.33267609782457236</v>
      </c>
      <c r="O51">
        <f t="shared" si="1"/>
        <v>0.23405492233954814</v>
      </c>
      <c r="P51">
        <f t="shared" si="2"/>
        <v>5.2178451483886328E-2</v>
      </c>
      <c r="Q51">
        <f t="shared" si="3"/>
        <v>0.39932602509234832</v>
      </c>
      <c r="R51">
        <f t="shared" si="4"/>
        <v>0.43823561250689602</v>
      </c>
      <c r="S51">
        <f t="shared" si="5"/>
        <v>0.21402011102580923</v>
      </c>
      <c r="U51" s="2">
        <f t="shared" si="23"/>
        <v>38353</v>
      </c>
      <c r="V51" t="s">
        <v>8</v>
      </c>
      <c r="W51">
        <f t="shared" si="19"/>
        <v>5.503434957213478E-2</v>
      </c>
      <c r="X51">
        <f t="shared" si="6"/>
        <v>0.11067338606378443</v>
      </c>
      <c r="Y51">
        <f t="shared" si="7"/>
        <v>5.4781706671371909E-2</v>
      </c>
      <c r="Z51">
        <f t="shared" si="8"/>
        <v>2.7225907992562792E-3</v>
      </c>
      <c r="AA51">
        <f t="shared" si="9"/>
        <v>0.15946127431605481</v>
      </c>
      <c r="AB51">
        <f t="shared" si="10"/>
        <v>0.19205045206929433</v>
      </c>
      <c r="AC51">
        <f t="shared" si="11"/>
        <v>4.5804607923499711E-2</v>
      </c>
      <c r="AE51" s="2">
        <f t="shared" si="24"/>
        <v>38353</v>
      </c>
      <c r="AF51" t="s">
        <v>8</v>
      </c>
      <c r="AG51">
        <f t="shared" ref="AG51:AM51" si="63">SQRT(AVERAGE(W40:W51))</f>
        <v>0.16529723180857298</v>
      </c>
      <c r="AH51">
        <f t="shared" si="63"/>
        <v>0.19233570047588494</v>
      </c>
      <c r="AI51">
        <f t="shared" si="63"/>
        <v>0.1643475159695636</v>
      </c>
      <c r="AJ51">
        <f t="shared" si="63"/>
        <v>0.21149524018311788</v>
      </c>
      <c r="AK51">
        <f t="shared" si="63"/>
        <v>0.21454051823271297</v>
      </c>
      <c r="AL51">
        <f t="shared" si="63"/>
        <v>0.23272805788672823</v>
      </c>
      <c r="AM51">
        <f t="shared" si="63"/>
        <v>0.16784827417282086</v>
      </c>
    </row>
    <row r="52" spans="1:39" x14ac:dyDescent="0.3">
      <c r="A52" s="2">
        <f t="shared" si="21"/>
        <v>38384</v>
      </c>
      <c r="B52">
        <v>0.4166672694846163</v>
      </c>
      <c r="C52">
        <v>0.26323304559679378</v>
      </c>
      <c r="D52">
        <v>0.28577805274389628</v>
      </c>
      <c r="E52">
        <v>0.26305599871700452</v>
      </c>
      <c r="F52">
        <v>-5.2178451483886328E-2</v>
      </c>
      <c r="G52">
        <v>0.34640944786891981</v>
      </c>
      <c r="H52">
        <v>0.2391326785231786</v>
      </c>
      <c r="I52">
        <v>0.26809262654889648</v>
      </c>
      <c r="K52" s="2">
        <f t="shared" si="22"/>
        <v>38384</v>
      </c>
      <c r="L52" t="s">
        <v>8</v>
      </c>
      <c r="M52">
        <f t="shared" si="18"/>
        <v>0.15343422388782252</v>
      </c>
      <c r="N52">
        <f t="shared" si="0"/>
        <v>0.13088921674072002</v>
      </c>
      <c r="O52">
        <f t="shared" si="1"/>
        <v>0.15361127076761177</v>
      </c>
      <c r="P52">
        <f t="shared" si="2"/>
        <v>0.46884572096850263</v>
      </c>
      <c r="Q52">
        <f t="shared" si="3"/>
        <v>7.0257821615696492E-2</v>
      </c>
      <c r="R52">
        <f t="shared" si="4"/>
        <v>0.1775345909614377</v>
      </c>
      <c r="S52">
        <f t="shared" si="5"/>
        <v>0.14857464293571981</v>
      </c>
      <c r="U52" s="2">
        <f t="shared" si="23"/>
        <v>38384</v>
      </c>
      <c r="V52" t="s">
        <v>8</v>
      </c>
      <c r="W52">
        <f t="shared" si="19"/>
        <v>2.3542061060058447E-2</v>
      </c>
      <c r="X52">
        <f t="shared" si="6"/>
        <v>1.7131987058999182E-2</v>
      </c>
      <c r="Y52">
        <f t="shared" si="7"/>
        <v>2.3596422506840541E-2</v>
      </c>
      <c r="Z52">
        <f t="shared" si="8"/>
        <v>0.21981631007047503</v>
      </c>
      <c r="AA52">
        <f t="shared" si="9"/>
        <v>4.9361614981830292E-3</v>
      </c>
      <c r="AB52">
        <f t="shared" si="10"/>
        <v>3.1518530987844996E-2</v>
      </c>
      <c r="AC52">
        <f t="shared" si="11"/>
        <v>2.2074424523476639E-2</v>
      </c>
      <c r="AE52" s="2">
        <f t="shared" si="24"/>
        <v>38384</v>
      </c>
      <c r="AF52" t="s">
        <v>8</v>
      </c>
      <c r="AG52">
        <f t="shared" ref="AG52:AM52" si="64">SQRT(AVERAGE(W41:W52))</f>
        <v>0.16976853583742335</v>
      </c>
      <c r="AH52">
        <f t="shared" si="64"/>
        <v>0.19512496632609388</v>
      </c>
      <c r="AI52">
        <f t="shared" si="64"/>
        <v>0.16885760537476885</v>
      </c>
      <c r="AJ52">
        <f t="shared" si="64"/>
        <v>0.24323901711409307</v>
      </c>
      <c r="AK52">
        <f t="shared" si="64"/>
        <v>0.21197108556124555</v>
      </c>
      <c r="AL52">
        <f t="shared" si="64"/>
        <v>0.23829161542874641</v>
      </c>
      <c r="AM52">
        <f t="shared" si="64"/>
        <v>0.17207998793064164</v>
      </c>
    </row>
    <row r="53" spans="1:39" x14ac:dyDescent="0.3">
      <c r="A53" s="2">
        <f t="shared" si="21"/>
        <v>38412</v>
      </c>
      <c r="B53">
        <v>0.36316512028626852</v>
      </c>
      <c r="C53">
        <v>0.32224545449104702</v>
      </c>
      <c r="D53">
        <v>0.3673135695933134</v>
      </c>
      <c r="E53">
        <v>0.3198989750496658</v>
      </c>
      <c r="F53">
        <v>0.4166672694846163</v>
      </c>
      <c r="G53">
        <v>0.34653907484607049</v>
      </c>
      <c r="H53">
        <v>0.17507356648200001</v>
      </c>
      <c r="I53">
        <v>0.32858915033299818</v>
      </c>
      <c r="K53" s="2">
        <f t="shared" si="22"/>
        <v>38412</v>
      </c>
      <c r="L53" t="s">
        <v>8</v>
      </c>
      <c r="M53">
        <f t="shared" si="18"/>
        <v>4.0919665795221494E-2</v>
      </c>
      <c r="N53">
        <f t="shared" si="0"/>
        <v>4.148449307044888E-3</v>
      </c>
      <c r="O53">
        <f t="shared" si="1"/>
        <v>4.3266145236602715E-2</v>
      </c>
      <c r="P53">
        <f t="shared" si="2"/>
        <v>5.3502149198347781E-2</v>
      </c>
      <c r="Q53">
        <f t="shared" si="3"/>
        <v>1.6626045440198023E-2</v>
      </c>
      <c r="R53">
        <f t="shared" si="4"/>
        <v>0.18809155380426851</v>
      </c>
      <c r="S53">
        <f t="shared" si="5"/>
        <v>3.4575969953270336E-2</v>
      </c>
      <c r="U53" s="2">
        <f t="shared" si="23"/>
        <v>38412</v>
      </c>
      <c r="V53" t="s">
        <v>8</v>
      </c>
      <c r="W53">
        <f t="shared" si="19"/>
        <v>1.6744190487926198E-3</v>
      </c>
      <c r="X53">
        <f t="shared" si="6"/>
        <v>1.720963165312121E-5</v>
      </c>
      <c r="Y53">
        <f t="shared" si="7"/>
        <v>1.8719593236347998E-3</v>
      </c>
      <c r="Z53">
        <f t="shared" si="8"/>
        <v>2.8624799688422662E-3</v>
      </c>
      <c r="AA53">
        <f t="shared" si="9"/>
        <v>2.7642538697952949E-4</v>
      </c>
      <c r="AB53">
        <f t="shared" si="10"/>
        <v>3.5378432612504035E-2</v>
      </c>
      <c r="AC53">
        <f t="shared" si="11"/>
        <v>1.1954976982094532E-3</v>
      </c>
      <c r="AE53" s="2">
        <f t="shared" si="24"/>
        <v>38412</v>
      </c>
      <c r="AF53" t="s">
        <v>8</v>
      </c>
      <c r="AG53">
        <f t="shared" ref="AG53:AM53" si="65">SQRT(AVERAGE(W42:W53))</f>
        <v>0.16975307787927213</v>
      </c>
      <c r="AH53">
        <f t="shared" si="65"/>
        <v>0.19443665142551023</v>
      </c>
      <c r="AI53">
        <f t="shared" si="65"/>
        <v>0.16874775614431947</v>
      </c>
      <c r="AJ53">
        <f t="shared" si="65"/>
        <v>0.24372882858967285</v>
      </c>
      <c r="AK53">
        <f t="shared" si="65"/>
        <v>0.20842968203025566</v>
      </c>
      <c r="AL53">
        <f t="shared" si="65"/>
        <v>0.24361361915458427</v>
      </c>
      <c r="AM53">
        <f t="shared" si="65"/>
        <v>0.17200673289294455</v>
      </c>
    </row>
    <row r="54" spans="1:39" x14ac:dyDescent="0.3">
      <c r="A54" s="2">
        <f t="shared" si="21"/>
        <v>38443</v>
      </c>
      <c r="B54">
        <v>0.31023809784818113</v>
      </c>
      <c r="C54">
        <v>0.4199877787908099</v>
      </c>
      <c r="D54">
        <v>0.31079184381589903</v>
      </c>
      <c r="E54">
        <v>0.4274689461772242</v>
      </c>
      <c r="F54">
        <v>0.36316512028626852</v>
      </c>
      <c r="G54">
        <v>0.34656969371428448</v>
      </c>
      <c r="H54">
        <v>0.30669719485404179</v>
      </c>
      <c r="I54">
        <v>0.31966404631470541</v>
      </c>
      <c r="K54" s="2">
        <f t="shared" si="22"/>
        <v>38443</v>
      </c>
      <c r="L54" t="s">
        <v>8</v>
      </c>
      <c r="M54">
        <f t="shared" si="18"/>
        <v>0.10974968094262877</v>
      </c>
      <c r="N54">
        <f t="shared" si="0"/>
        <v>5.5374596771790019E-4</v>
      </c>
      <c r="O54">
        <f t="shared" si="1"/>
        <v>0.11723084832904307</v>
      </c>
      <c r="P54">
        <f t="shared" si="2"/>
        <v>5.292702243808739E-2</v>
      </c>
      <c r="Q54">
        <f t="shared" si="3"/>
        <v>3.633159586610335E-2</v>
      </c>
      <c r="R54">
        <f t="shared" si="4"/>
        <v>3.5409029941393388E-3</v>
      </c>
      <c r="S54">
        <f t="shared" si="5"/>
        <v>9.425948466524281E-3</v>
      </c>
      <c r="U54" s="2">
        <f t="shared" si="23"/>
        <v>38443</v>
      </c>
      <c r="V54" t="s">
        <v>8</v>
      </c>
      <c r="W54">
        <f t="shared" si="19"/>
        <v>1.2044992467008813E-2</v>
      </c>
      <c r="X54">
        <f t="shared" si="6"/>
        <v>3.0663459676383375E-7</v>
      </c>
      <c r="Y54">
        <f t="shared" si="7"/>
        <v>1.3743071799947101E-2</v>
      </c>
      <c r="Z54">
        <f t="shared" si="8"/>
        <v>2.801269704161806E-3</v>
      </c>
      <c r="AA54">
        <f t="shared" si="9"/>
        <v>1.3199848581778579E-3</v>
      </c>
      <c r="AB54">
        <f t="shared" si="10"/>
        <v>1.2537994013904935E-5</v>
      </c>
      <c r="AC54">
        <f t="shared" si="11"/>
        <v>8.8848504493571444E-5</v>
      </c>
      <c r="AE54" s="2">
        <f t="shared" si="24"/>
        <v>38443</v>
      </c>
      <c r="AF54" t="s">
        <v>8</v>
      </c>
      <c r="AG54">
        <f t="shared" ref="AG54:AM54" si="66">SQRT(AVERAGE(W43:W54))</f>
        <v>0.16969462009040348</v>
      </c>
      <c r="AH54">
        <f t="shared" si="66"/>
        <v>0.1932883567469274</v>
      </c>
      <c r="AI54">
        <f t="shared" si="66"/>
        <v>0.16941714335604305</v>
      </c>
      <c r="AJ54">
        <f t="shared" si="66"/>
        <v>0.24371281513154081</v>
      </c>
      <c r="AK54">
        <f t="shared" si="66"/>
        <v>0.20149431066934892</v>
      </c>
      <c r="AL54">
        <f t="shared" si="66"/>
        <v>0.24181554061334859</v>
      </c>
      <c r="AM54">
        <f t="shared" si="66"/>
        <v>0.16878134583355017</v>
      </c>
    </row>
    <row r="55" spans="1:39" x14ac:dyDescent="0.3">
      <c r="A55" s="2">
        <f t="shared" si="21"/>
        <v>38473</v>
      </c>
      <c r="B55">
        <v>-5.1639557047344908E-2</v>
      </c>
      <c r="C55">
        <v>0.32370919538092879</v>
      </c>
      <c r="D55">
        <v>0.35630974425657991</v>
      </c>
      <c r="E55">
        <v>0.322023085136942</v>
      </c>
      <c r="F55">
        <v>0.31023809784818113</v>
      </c>
      <c r="G55">
        <v>0.34650290769247177</v>
      </c>
      <c r="H55">
        <v>0.27901348434579021</v>
      </c>
      <c r="I55">
        <v>0.29632230885633692</v>
      </c>
      <c r="K55" s="2">
        <f t="shared" si="22"/>
        <v>38473</v>
      </c>
      <c r="L55" t="s">
        <v>8</v>
      </c>
      <c r="M55">
        <f t="shared" si="18"/>
        <v>0.3753487524282737</v>
      </c>
      <c r="N55">
        <f t="shared" si="0"/>
        <v>0.40794930130392482</v>
      </c>
      <c r="O55">
        <f t="shared" si="1"/>
        <v>0.37366264218428691</v>
      </c>
      <c r="P55">
        <f t="shared" si="2"/>
        <v>0.36187765489552604</v>
      </c>
      <c r="Q55">
        <f t="shared" si="3"/>
        <v>0.39814246473981668</v>
      </c>
      <c r="R55">
        <f t="shared" si="4"/>
        <v>0.33065304139313512</v>
      </c>
      <c r="S55">
        <f t="shared" si="5"/>
        <v>0.34796186590368183</v>
      </c>
      <c r="U55" s="2">
        <f t="shared" si="23"/>
        <v>38473</v>
      </c>
      <c r="V55" t="s">
        <v>8</v>
      </c>
      <c r="W55">
        <f t="shared" si="19"/>
        <v>0.14088668594946149</v>
      </c>
      <c r="X55">
        <f t="shared" si="6"/>
        <v>0.16642263243436042</v>
      </c>
      <c r="Y55">
        <f t="shared" si="7"/>
        <v>0.13962377016414243</v>
      </c>
      <c r="Z55">
        <f t="shared" si="8"/>
        <v>0.13095543711268542</v>
      </c>
      <c r="AA55">
        <f t="shared" si="9"/>
        <v>0.15851742222909618</v>
      </c>
      <c r="AB55">
        <f t="shared" si="10"/>
        <v>0.10933143378253032</v>
      </c>
      <c r="AC55">
        <f t="shared" si="11"/>
        <v>0.12107746012317186</v>
      </c>
      <c r="AE55" s="2">
        <f t="shared" si="24"/>
        <v>38473</v>
      </c>
      <c r="AF55" t="s">
        <v>8</v>
      </c>
      <c r="AG55">
        <f t="shared" ref="AG55:AM55" si="67">SQRT(AVERAGE(W44:W55))</f>
        <v>0.19742539725745806</v>
      </c>
      <c r="AH55">
        <f t="shared" si="67"/>
        <v>0.22494599917786776</v>
      </c>
      <c r="AI55">
        <f t="shared" si="67"/>
        <v>0.19735555154753195</v>
      </c>
      <c r="AJ55">
        <f t="shared" si="67"/>
        <v>0.25381618554110869</v>
      </c>
      <c r="AK55">
        <f t="shared" si="67"/>
        <v>0.230877179912542</v>
      </c>
      <c r="AL55">
        <f t="shared" si="67"/>
        <v>0.25618900631613384</v>
      </c>
      <c r="AM55">
        <f t="shared" si="67"/>
        <v>0.19185584466420288</v>
      </c>
    </row>
    <row r="56" spans="1:39" x14ac:dyDescent="0.3">
      <c r="A56" s="2">
        <f t="shared" si="21"/>
        <v>38504</v>
      </c>
      <c r="B56">
        <v>5.1639557047344908E-2</v>
      </c>
      <c r="C56">
        <v>0.18511542957653551</v>
      </c>
      <c r="D56">
        <v>0.27406350417580488</v>
      </c>
      <c r="E56">
        <v>0.18688568944811629</v>
      </c>
      <c r="F56">
        <v>-5.1639557047344908E-2</v>
      </c>
      <c r="G56">
        <v>0.3457723710599217</v>
      </c>
      <c r="H56">
        <v>0.28585288416762827</v>
      </c>
      <c r="I56">
        <v>0.19218083973765179</v>
      </c>
      <c r="K56" s="2">
        <f t="shared" si="22"/>
        <v>38504</v>
      </c>
      <c r="L56" t="s">
        <v>8</v>
      </c>
      <c r="M56">
        <f t="shared" si="18"/>
        <v>0.1334758725291906</v>
      </c>
      <c r="N56">
        <f t="shared" si="0"/>
        <v>0.22242394712845998</v>
      </c>
      <c r="O56">
        <f t="shared" si="1"/>
        <v>0.13524613240077138</v>
      </c>
      <c r="P56">
        <f t="shared" si="2"/>
        <v>0.10327911409468982</v>
      </c>
      <c r="Q56">
        <f t="shared" si="3"/>
        <v>0.29413281401257679</v>
      </c>
      <c r="R56">
        <f t="shared" si="4"/>
        <v>0.23421332712028337</v>
      </c>
      <c r="S56">
        <f t="shared" si="5"/>
        <v>0.14054128269030688</v>
      </c>
      <c r="U56" s="2">
        <f t="shared" si="23"/>
        <v>38504</v>
      </c>
      <c r="V56" t="s">
        <v>8</v>
      </c>
      <c r="W56">
        <f t="shared" si="19"/>
        <v>1.781580854742874E-2</v>
      </c>
      <c r="X56">
        <f t="shared" si="6"/>
        <v>4.9472412256203961E-2</v>
      </c>
      <c r="Y56">
        <f t="shared" si="7"/>
        <v>1.8291516329366982E-2</v>
      </c>
      <c r="Z56">
        <f t="shared" si="8"/>
        <v>1.0666575408183956E-2</v>
      </c>
      <c r="AA56">
        <f t="shared" si="9"/>
        <v>8.6514112278957098E-2</v>
      </c>
      <c r="AB56">
        <f t="shared" si="10"/>
        <v>5.4855882600752866E-2</v>
      </c>
      <c r="AC56">
        <f t="shared" si="11"/>
        <v>1.9751852140236753E-2</v>
      </c>
      <c r="AE56" s="2">
        <f t="shared" si="24"/>
        <v>38504</v>
      </c>
      <c r="AF56" t="s">
        <v>8</v>
      </c>
      <c r="AG56">
        <f t="shared" ref="AG56:AM56" si="68">SQRT(AVERAGE(W45:W56))</f>
        <v>0.2011491065470265</v>
      </c>
      <c r="AH56">
        <f t="shared" si="68"/>
        <v>0.23384449328306456</v>
      </c>
      <c r="AI56">
        <f t="shared" si="68"/>
        <v>0.20117879358701832</v>
      </c>
      <c r="AJ56">
        <f t="shared" si="68"/>
        <v>0.25507236974040659</v>
      </c>
      <c r="AK56">
        <f t="shared" si="68"/>
        <v>0.24590583282133155</v>
      </c>
      <c r="AL56">
        <f t="shared" si="68"/>
        <v>0.2626766299968436</v>
      </c>
      <c r="AM56">
        <f t="shared" si="68"/>
        <v>0.19536953650532482</v>
      </c>
    </row>
    <row r="57" spans="1:39" x14ac:dyDescent="0.3">
      <c r="A57" s="2">
        <f t="shared" si="21"/>
        <v>38534</v>
      </c>
      <c r="B57">
        <v>0.6176036100564275</v>
      </c>
      <c r="C57">
        <v>0.31187438163112102</v>
      </c>
      <c r="D57">
        <v>0.28672731698955689</v>
      </c>
      <c r="E57">
        <v>0.31881078893029291</v>
      </c>
      <c r="F57">
        <v>5.1639557047344908E-2</v>
      </c>
      <c r="G57">
        <v>0.34523366627235291</v>
      </c>
      <c r="H57">
        <v>0.19260213236912199</v>
      </c>
      <c r="I57">
        <v>0.28714522160830691</v>
      </c>
      <c r="K57" s="2">
        <f t="shared" si="22"/>
        <v>38534</v>
      </c>
      <c r="L57" t="s">
        <v>8</v>
      </c>
      <c r="M57">
        <f t="shared" si="18"/>
        <v>0.30572922842530648</v>
      </c>
      <c r="N57">
        <f t="shared" si="0"/>
        <v>0.33087629306687061</v>
      </c>
      <c r="O57">
        <f t="shared" si="1"/>
        <v>0.29879282112613459</v>
      </c>
      <c r="P57">
        <f t="shared" si="2"/>
        <v>0.56596405300908259</v>
      </c>
      <c r="Q57">
        <f t="shared" si="3"/>
        <v>0.27236994378407459</v>
      </c>
      <c r="R57">
        <f t="shared" si="4"/>
        <v>0.42500147768730551</v>
      </c>
      <c r="S57">
        <f t="shared" si="5"/>
        <v>0.33045838844812059</v>
      </c>
      <c r="U57" s="2">
        <f t="shared" si="23"/>
        <v>38534</v>
      </c>
      <c r="V57" t="s">
        <v>8</v>
      </c>
      <c r="W57">
        <f t="shared" si="19"/>
        <v>9.3470361113533226E-2</v>
      </c>
      <c r="X57">
        <f t="shared" si="6"/>
        <v>0.10947912131367364</v>
      </c>
      <c r="Y57">
        <f t="shared" si="7"/>
        <v>8.9277149956514257E-2</v>
      </c>
      <c r="Z57">
        <f t="shared" si="8"/>
        <v>0.32031530929846763</v>
      </c>
      <c r="AA57">
        <f t="shared" si="9"/>
        <v>7.4185386276939949E-2</v>
      </c>
      <c r="AB57">
        <f t="shared" si="10"/>
        <v>0.18062625603639323</v>
      </c>
      <c r="AC57">
        <f t="shared" si="11"/>
        <v>0.10920274649572896</v>
      </c>
      <c r="AE57" s="2">
        <f t="shared" si="24"/>
        <v>38534</v>
      </c>
      <c r="AF57" t="s">
        <v>8</v>
      </c>
      <c r="AG57">
        <f t="shared" ref="AG57:AM57" si="69">SQRT(AVERAGE(W46:W57))</f>
        <v>0.21625640460764967</v>
      </c>
      <c r="AH57">
        <f t="shared" si="69"/>
        <v>0.24485576783324051</v>
      </c>
      <c r="AI57">
        <f t="shared" si="69"/>
        <v>0.21558354954132883</v>
      </c>
      <c r="AJ57">
        <f t="shared" si="69"/>
        <v>0.29305897266367581</v>
      </c>
      <c r="AK57">
        <f t="shared" si="69"/>
        <v>0.24850026411219361</v>
      </c>
      <c r="AL57">
        <f t="shared" si="69"/>
        <v>0.28305297790765782</v>
      </c>
      <c r="AM57">
        <f t="shared" si="69"/>
        <v>0.21264286960179984</v>
      </c>
    </row>
    <row r="58" spans="1:39" x14ac:dyDescent="0.3">
      <c r="A58" s="2">
        <f t="shared" si="21"/>
        <v>38565</v>
      </c>
      <c r="B58">
        <v>0.61381266887856611</v>
      </c>
      <c r="C58">
        <v>0.41622249667650962</v>
      </c>
      <c r="D58">
        <v>0.39762679055452949</v>
      </c>
      <c r="E58">
        <v>0.42184622876463362</v>
      </c>
      <c r="F58">
        <v>0.6176036100564275</v>
      </c>
      <c r="G58">
        <v>0.34573160035605321</v>
      </c>
      <c r="H58">
        <v>0.17424909824422741</v>
      </c>
      <c r="I58">
        <v>0.33117223059567658</v>
      </c>
      <c r="K58" s="2">
        <f t="shared" si="22"/>
        <v>38565</v>
      </c>
      <c r="L58" t="s">
        <v>8</v>
      </c>
      <c r="M58">
        <f t="shared" si="18"/>
        <v>0.19759017220205649</v>
      </c>
      <c r="N58">
        <f t="shared" si="0"/>
        <v>0.21618587832403663</v>
      </c>
      <c r="O58">
        <f t="shared" si="1"/>
        <v>0.19196644011393249</v>
      </c>
      <c r="P58">
        <f t="shared" si="2"/>
        <v>3.7909411778613844E-3</v>
      </c>
      <c r="Q58">
        <f t="shared" si="3"/>
        <v>0.2680810685225129</v>
      </c>
      <c r="R58">
        <f t="shared" si="4"/>
        <v>0.43956357063433871</v>
      </c>
      <c r="S58">
        <f t="shared" si="5"/>
        <v>0.28264043828288954</v>
      </c>
      <c r="U58" s="2">
        <f t="shared" si="23"/>
        <v>38565</v>
      </c>
      <c r="V58" t="s">
        <v>8</v>
      </c>
      <c r="W58">
        <f t="shared" si="19"/>
        <v>3.9041876150838338E-2</v>
      </c>
      <c r="X58">
        <f t="shared" si="6"/>
        <v>4.6736333986735171E-2</v>
      </c>
      <c r="Y58">
        <f t="shared" si="7"/>
        <v>3.685111413001603E-2</v>
      </c>
      <c r="Z58">
        <f t="shared" si="8"/>
        <v>1.4371235014005061E-5</v>
      </c>
      <c r="AA58">
        <f t="shared" si="9"/>
        <v>7.1867459300172257E-2</v>
      </c>
      <c r="AB58">
        <f t="shared" si="10"/>
        <v>0.19321613262880927</v>
      </c>
      <c r="AC58">
        <f t="shared" si="11"/>
        <v>7.9885617352743896E-2</v>
      </c>
      <c r="AE58" s="2">
        <f t="shared" si="24"/>
        <v>38565</v>
      </c>
      <c r="AF58" t="s">
        <v>8</v>
      </c>
      <c r="AG58">
        <f t="shared" ref="AG58:AM58" si="70">SQRT(AVERAGE(W47:W58))</f>
        <v>0.2157907908902077</v>
      </c>
      <c r="AH58">
        <f t="shared" si="70"/>
        <v>0.24576026810663085</v>
      </c>
      <c r="AI58">
        <f t="shared" si="70"/>
        <v>0.21431184741944564</v>
      </c>
      <c r="AJ58">
        <f t="shared" si="70"/>
        <v>0.29266209074050892</v>
      </c>
      <c r="AK58">
        <f t="shared" si="70"/>
        <v>0.2459484898872229</v>
      </c>
      <c r="AL58">
        <f t="shared" si="70"/>
        <v>0.29915882573386993</v>
      </c>
      <c r="AM58">
        <f t="shared" si="70"/>
        <v>0.2197262146460989</v>
      </c>
    </row>
    <row r="59" spans="1:39" x14ac:dyDescent="0.3">
      <c r="A59" s="2">
        <f t="shared" si="21"/>
        <v>38596</v>
      </c>
      <c r="B59">
        <v>1.367456102017339</v>
      </c>
      <c r="C59">
        <v>0.45178892146242688</v>
      </c>
      <c r="D59">
        <v>0.42991616428051488</v>
      </c>
      <c r="E59">
        <v>0.45390380303253131</v>
      </c>
      <c r="F59">
        <v>0.61381266887856611</v>
      </c>
      <c r="G59">
        <v>0.34622079938620381</v>
      </c>
      <c r="H59">
        <v>0.38385253798222141</v>
      </c>
      <c r="I59">
        <v>0.38388113081676017</v>
      </c>
      <c r="K59" s="2">
        <f t="shared" si="22"/>
        <v>38596</v>
      </c>
      <c r="L59" t="s">
        <v>8</v>
      </c>
      <c r="M59">
        <f t="shared" si="18"/>
        <v>0.91566718055491214</v>
      </c>
      <c r="N59">
        <f t="shared" si="0"/>
        <v>0.93753993773682409</v>
      </c>
      <c r="O59">
        <f t="shared" si="1"/>
        <v>0.91355229898480772</v>
      </c>
      <c r="P59">
        <f t="shared" si="2"/>
        <v>0.75364343313877291</v>
      </c>
      <c r="Q59">
        <f t="shared" si="3"/>
        <v>1.0212353026311352</v>
      </c>
      <c r="R59">
        <f t="shared" si="4"/>
        <v>0.98360356403511762</v>
      </c>
      <c r="S59">
        <f t="shared" si="5"/>
        <v>0.9835749712005788</v>
      </c>
      <c r="U59" s="2">
        <f t="shared" si="23"/>
        <v>38596</v>
      </c>
      <c r="V59" t="s">
        <v>8</v>
      </c>
      <c r="W59">
        <f t="shared" si="19"/>
        <v>0.83844638554538209</v>
      </c>
      <c r="X59">
        <f t="shared" si="6"/>
        <v>0.87898113485156804</v>
      </c>
      <c r="Y59">
        <f t="shared" si="7"/>
        <v>0.8345778029804275</v>
      </c>
      <c r="Z59">
        <f t="shared" si="8"/>
        <v>0.56797842431319612</v>
      </c>
      <c r="AA59">
        <f t="shared" si="9"/>
        <v>1.0429215433401062</v>
      </c>
      <c r="AB59">
        <f t="shared" si="10"/>
        <v>0.96747597118258577</v>
      </c>
      <c r="AC59">
        <f t="shared" si="11"/>
        <v>0.96741972397221943</v>
      </c>
      <c r="AE59" s="2">
        <f t="shared" si="24"/>
        <v>38596</v>
      </c>
      <c r="AF59" t="s">
        <v>8</v>
      </c>
      <c r="AG59">
        <f t="shared" ref="AG59:AM59" si="71">SQRT(AVERAGE(W48:W59))</f>
        <v>0.34024783213215576</v>
      </c>
      <c r="AH59">
        <f t="shared" si="71"/>
        <v>0.36494119617053988</v>
      </c>
      <c r="AI59">
        <f t="shared" si="71"/>
        <v>0.33887557052079387</v>
      </c>
      <c r="AJ59">
        <f t="shared" si="71"/>
        <v>0.35663064345011808</v>
      </c>
      <c r="AK59">
        <f t="shared" si="71"/>
        <v>0.38382602865971016</v>
      </c>
      <c r="AL59">
        <f t="shared" si="71"/>
        <v>0.41184395506017912</v>
      </c>
      <c r="AM59">
        <f t="shared" si="71"/>
        <v>0.358767164547522</v>
      </c>
    </row>
    <row r="60" spans="1:39" x14ac:dyDescent="0.3">
      <c r="A60" s="2">
        <f t="shared" si="21"/>
        <v>38626</v>
      </c>
      <c r="B60">
        <v>0.1507916847677038</v>
      </c>
      <c r="C60">
        <v>0.59522667410553165</v>
      </c>
      <c r="D60">
        <v>0.56703646777153527</v>
      </c>
      <c r="E60">
        <v>0.59391930292265871</v>
      </c>
      <c r="F60">
        <v>1.367456102017339</v>
      </c>
      <c r="G60">
        <v>0.34808097297933882</v>
      </c>
      <c r="H60">
        <v>0.43094610255111188</v>
      </c>
      <c r="I60">
        <v>0.62494470134123925</v>
      </c>
      <c r="K60" s="2">
        <f t="shared" si="22"/>
        <v>38626</v>
      </c>
      <c r="L60" t="s">
        <v>8</v>
      </c>
      <c r="M60">
        <f t="shared" si="18"/>
        <v>0.44443498933782788</v>
      </c>
      <c r="N60">
        <f t="shared" si="0"/>
        <v>0.4162447830038315</v>
      </c>
      <c r="O60">
        <f t="shared" si="1"/>
        <v>0.44312761815495494</v>
      </c>
      <c r="P60">
        <f t="shared" si="2"/>
        <v>1.2166644172496353</v>
      </c>
      <c r="Q60">
        <f t="shared" si="3"/>
        <v>0.19728928821163502</v>
      </c>
      <c r="R60">
        <f t="shared" si="4"/>
        <v>0.28015441778340811</v>
      </c>
      <c r="S60">
        <f t="shared" si="5"/>
        <v>0.47415301657353548</v>
      </c>
      <c r="U60" s="2">
        <f t="shared" si="23"/>
        <v>38626</v>
      </c>
      <c r="V60" t="s">
        <v>8</v>
      </c>
      <c r="W60">
        <f t="shared" si="19"/>
        <v>0.19752245974771518</v>
      </c>
      <c r="X60">
        <f t="shared" si="6"/>
        <v>0.17325971937790677</v>
      </c>
      <c r="Y60">
        <f t="shared" si="7"/>
        <v>0.19636208597168356</v>
      </c>
      <c r="Z60">
        <f t="shared" si="8"/>
        <v>1.4802723042013946</v>
      </c>
      <c r="AA60">
        <f t="shared" si="9"/>
        <v>3.8923063243053592E-2</v>
      </c>
      <c r="AB60">
        <f t="shared" si="10"/>
        <v>7.8486497803560373E-2</v>
      </c>
      <c r="AC60">
        <f t="shared" si="11"/>
        <v>0.22482108312578342</v>
      </c>
      <c r="AE60" s="2">
        <f t="shared" si="24"/>
        <v>38626</v>
      </c>
      <c r="AF60" t="s">
        <v>8</v>
      </c>
      <c r="AG60">
        <f t="shared" ref="AG60:AM60" si="72">SQRT(AVERAGE(W49:W60))</f>
        <v>0.35531577167212697</v>
      </c>
      <c r="AH60">
        <f t="shared" si="72"/>
        <v>0.37638144167731885</v>
      </c>
      <c r="AI60">
        <f t="shared" si="72"/>
        <v>0.354316083488879</v>
      </c>
      <c r="AJ60">
        <f t="shared" si="72"/>
        <v>0.49689645021618539</v>
      </c>
      <c r="AK60">
        <f t="shared" si="72"/>
        <v>0.38460121986290507</v>
      </c>
      <c r="AL60">
        <f t="shared" si="72"/>
        <v>0.40942227587167501</v>
      </c>
      <c r="AM60">
        <f t="shared" si="72"/>
        <v>0.37645691289803207</v>
      </c>
    </row>
    <row r="61" spans="1:39" x14ac:dyDescent="0.3">
      <c r="A61" s="2">
        <f t="shared" si="21"/>
        <v>38657</v>
      </c>
      <c r="B61">
        <v>-0.50352573656455846</v>
      </c>
      <c r="C61">
        <v>0.3212328131887337</v>
      </c>
      <c r="D61">
        <v>0.44959296105000429</v>
      </c>
      <c r="E61">
        <v>0.31976690851883111</v>
      </c>
      <c r="F61">
        <v>0.1507916847677038</v>
      </c>
      <c r="G61">
        <v>0.34772226518259042</v>
      </c>
      <c r="H61">
        <v>0.78515878377065595</v>
      </c>
      <c r="I61">
        <v>0.36602471617825189</v>
      </c>
      <c r="K61" s="2">
        <f t="shared" si="22"/>
        <v>38657</v>
      </c>
      <c r="L61" t="s">
        <v>8</v>
      </c>
      <c r="M61">
        <f t="shared" si="18"/>
        <v>0.8247585497532921</v>
      </c>
      <c r="N61">
        <f t="shared" si="0"/>
        <v>0.95311869761456269</v>
      </c>
      <c r="O61">
        <f t="shared" si="1"/>
        <v>0.82329264508338951</v>
      </c>
      <c r="P61">
        <f t="shared" si="2"/>
        <v>0.65431742133226223</v>
      </c>
      <c r="Q61">
        <f t="shared" si="3"/>
        <v>0.85124800174714887</v>
      </c>
      <c r="R61">
        <f t="shared" si="4"/>
        <v>1.2886845203352144</v>
      </c>
      <c r="S61">
        <f t="shared" si="5"/>
        <v>0.8695504527428104</v>
      </c>
      <c r="U61" s="2">
        <f t="shared" si="23"/>
        <v>38657</v>
      </c>
      <c r="V61" t="s">
        <v>8</v>
      </c>
      <c r="W61">
        <f t="shared" si="19"/>
        <v>0.68022666539115362</v>
      </c>
      <c r="X61">
        <f t="shared" si="6"/>
        <v>0.90843525174248019</v>
      </c>
      <c r="Y61">
        <f t="shared" si="7"/>
        <v>0.67781077944840395</v>
      </c>
      <c r="Z61">
        <f t="shared" si="8"/>
        <v>0.42813128785890114</v>
      </c>
      <c r="AA61">
        <f t="shared" si="9"/>
        <v>0.72462316047851394</v>
      </c>
      <c r="AB61">
        <f t="shared" si="10"/>
        <v>1.6607077929516016</v>
      </c>
      <c r="AC61">
        <f t="shared" si="11"/>
        <v>0.75611798986522649</v>
      </c>
      <c r="AE61" s="2">
        <f t="shared" si="24"/>
        <v>38657</v>
      </c>
      <c r="AF61" t="s">
        <v>8</v>
      </c>
      <c r="AG61">
        <f t="shared" ref="AG61:AM61" si="73">SQRT(AVERAGE(W50:W61))</f>
        <v>0.42732054680962656</v>
      </c>
      <c r="AH61">
        <f t="shared" si="73"/>
        <v>0.46453327090421753</v>
      </c>
      <c r="AI61">
        <f t="shared" si="73"/>
        <v>0.4262335143953212</v>
      </c>
      <c r="AJ61">
        <f t="shared" si="73"/>
        <v>0.53134973295455701</v>
      </c>
      <c r="AK61">
        <f t="shared" si="73"/>
        <v>0.45501877366262256</v>
      </c>
      <c r="AL61">
        <f t="shared" si="73"/>
        <v>0.55021238000638595</v>
      </c>
      <c r="AM61">
        <f t="shared" si="73"/>
        <v>0.44995820754832239</v>
      </c>
    </row>
    <row r="62" spans="1:39" x14ac:dyDescent="0.3">
      <c r="A62" s="2">
        <f t="shared" si="21"/>
        <v>38687</v>
      </c>
      <c r="B62">
        <v>0</v>
      </c>
      <c r="C62">
        <v>0.13877992923445889</v>
      </c>
      <c r="D62">
        <v>0.28328803263481911</v>
      </c>
      <c r="E62">
        <v>0.14897737804721939</v>
      </c>
      <c r="F62">
        <v>-0.50352573656455846</v>
      </c>
      <c r="G62">
        <v>0.34617735047887499</v>
      </c>
      <c r="H62">
        <v>0.4455797872180941</v>
      </c>
      <c r="I62">
        <v>6.974275460654368E-2</v>
      </c>
      <c r="K62" s="2">
        <f t="shared" si="22"/>
        <v>38687</v>
      </c>
      <c r="L62" t="s">
        <v>8</v>
      </c>
      <c r="M62">
        <f t="shared" si="18"/>
        <v>0.13877992923445889</v>
      </c>
      <c r="N62">
        <f t="shared" si="0"/>
        <v>0.28328803263481911</v>
      </c>
      <c r="O62">
        <f t="shared" si="1"/>
        <v>0.14897737804721939</v>
      </c>
      <c r="P62">
        <f t="shared" si="2"/>
        <v>0.50352573656455846</v>
      </c>
      <c r="Q62">
        <f t="shared" si="3"/>
        <v>0.34617735047887499</v>
      </c>
      <c r="R62">
        <f t="shared" si="4"/>
        <v>0.4455797872180941</v>
      </c>
      <c r="S62">
        <f t="shared" si="5"/>
        <v>6.974275460654368E-2</v>
      </c>
      <c r="U62" s="2">
        <f t="shared" si="23"/>
        <v>38687</v>
      </c>
      <c r="V62" t="s">
        <v>8</v>
      </c>
      <c r="W62">
        <f t="shared" si="19"/>
        <v>1.9259868758321419E-2</v>
      </c>
      <c r="X62">
        <f t="shared" si="6"/>
        <v>8.0252109434106336E-2</v>
      </c>
      <c r="Y62">
        <f t="shared" si="7"/>
        <v>2.2194259169824124E-2</v>
      </c>
      <c r="Z62">
        <f t="shared" si="8"/>
        <v>0.2535381673828811</v>
      </c>
      <c r="AA62">
        <f t="shared" si="9"/>
        <v>0.11983875798457386</v>
      </c>
      <c r="AB62">
        <f t="shared" si="10"/>
        <v>0.19854134677732202</v>
      </c>
      <c r="AC62">
        <f t="shared" si="11"/>
        <v>4.8640518201085699E-3</v>
      </c>
      <c r="AE62" s="2">
        <f t="shared" si="24"/>
        <v>38687</v>
      </c>
      <c r="AF62" t="s">
        <v>8</v>
      </c>
      <c r="AG62">
        <f t="shared" ref="AG62:AM62" si="74">SQRT(AVERAGE(W51:W62))</f>
        <v>0.4202148194031069</v>
      </c>
      <c r="AH62">
        <f t="shared" si="74"/>
        <v>0.46015048306560075</v>
      </c>
      <c r="AI62">
        <f t="shared" si="74"/>
        <v>0.41922365137360085</v>
      </c>
      <c r="AJ62">
        <f t="shared" si="74"/>
        <v>0.53385972934169534</v>
      </c>
      <c r="AK62">
        <f t="shared" si="74"/>
        <v>0.45491617828551745</v>
      </c>
      <c r="AL62">
        <f t="shared" si="74"/>
        <v>0.55544286140484433</v>
      </c>
      <c r="AM62">
        <f t="shared" si="74"/>
        <v>0.44274747350539251</v>
      </c>
    </row>
    <row r="63" spans="1:39" x14ac:dyDescent="0.3">
      <c r="A63" s="2">
        <f t="shared" si="21"/>
        <v>38718</v>
      </c>
      <c r="B63">
        <v>0.60392735142436038</v>
      </c>
      <c r="C63">
        <v>0.39493039063576407</v>
      </c>
      <c r="D63">
        <v>0.48593805690053149</v>
      </c>
      <c r="E63">
        <v>0.4220654868977422</v>
      </c>
      <c r="F63">
        <v>0</v>
      </c>
      <c r="G63">
        <v>0.34555021759757282</v>
      </c>
      <c r="H63">
        <v>8.45926088096981E-2</v>
      </c>
      <c r="I63">
        <v>0.33868363352348257</v>
      </c>
      <c r="K63" s="2">
        <f t="shared" si="22"/>
        <v>38718</v>
      </c>
      <c r="L63" t="s">
        <v>8</v>
      </c>
      <c r="M63">
        <f t="shared" si="18"/>
        <v>0.20899696078859631</v>
      </c>
      <c r="N63">
        <f t="shared" si="0"/>
        <v>0.11798929452382889</v>
      </c>
      <c r="O63">
        <f t="shared" si="1"/>
        <v>0.18186186452661818</v>
      </c>
      <c r="P63">
        <f t="shared" si="2"/>
        <v>0.60392735142436038</v>
      </c>
      <c r="Q63">
        <f t="shared" si="3"/>
        <v>0.25837713382678756</v>
      </c>
      <c r="R63">
        <f t="shared" si="4"/>
        <v>0.51933474261466228</v>
      </c>
      <c r="S63">
        <f t="shared" si="5"/>
        <v>0.26524371790087781</v>
      </c>
      <c r="U63" s="2">
        <f t="shared" si="23"/>
        <v>38718</v>
      </c>
      <c r="V63" t="s">
        <v>8</v>
      </c>
      <c r="W63">
        <f t="shared" si="19"/>
        <v>4.367972961887006E-2</v>
      </c>
      <c r="X63">
        <f t="shared" si="6"/>
        <v>1.3921473622230838E-2</v>
      </c>
      <c r="Y63">
        <f t="shared" si="7"/>
        <v>3.307373776909802E-2</v>
      </c>
      <c r="Z63">
        <f t="shared" si="8"/>
        <v>0.36472824579844287</v>
      </c>
      <c r="AA63">
        <f t="shared" si="9"/>
        <v>6.6758743284545688E-2</v>
      </c>
      <c r="AB63">
        <f t="shared" si="10"/>
        <v>0.26970857488663752</v>
      </c>
      <c r="AC63">
        <f t="shared" si="11"/>
        <v>7.0354229885880443E-2</v>
      </c>
      <c r="AE63" s="2">
        <f t="shared" si="24"/>
        <v>38718</v>
      </c>
      <c r="AF63" t="s">
        <v>8</v>
      </c>
      <c r="AG63">
        <f t="shared" ref="AG63:AM63" si="75">SQRT(AVERAGE(W52:W63))</f>
        <v>0.41908743254426878</v>
      </c>
      <c r="AH63">
        <f t="shared" si="75"/>
        <v>0.45130456201480634</v>
      </c>
      <c r="AI63">
        <f t="shared" si="75"/>
        <v>0.41706051414931578</v>
      </c>
      <c r="AJ63">
        <f t="shared" si="75"/>
        <v>0.56140301791973579</v>
      </c>
      <c r="AK63">
        <f t="shared" si="75"/>
        <v>0.44634461836859668</v>
      </c>
      <c r="AL63">
        <f t="shared" si="75"/>
        <v>0.56123816915849511</v>
      </c>
      <c r="AM63">
        <f t="shared" si="75"/>
        <v>0.44505182521320663</v>
      </c>
    </row>
    <row r="64" spans="1:39" x14ac:dyDescent="0.3">
      <c r="A64" s="2">
        <f t="shared" si="21"/>
        <v>38749</v>
      </c>
      <c r="B64">
        <v>5.0163030898886518E-2</v>
      </c>
      <c r="C64">
        <v>0.50352367985602942</v>
      </c>
      <c r="D64">
        <v>0.47431632273003321</v>
      </c>
      <c r="E64">
        <v>0.49792303700556001</v>
      </c>
      <c r="F64">
        <v>0.60392735142436038</v>
      </c>
      <c r="G64">
        <v>0.34601744568767551</v>
      </c>
      <c r="H64">
        <v>0.28110547253616508</v>
      </c>
      <c r="I64">
        <v>0.46259902015247523</v>
      </c>
      <c r="K64" s="2">
        <f t="shared" si="22"/>
        <v>38749</v>
      </c>
      <c r="L64" t="s">
        <v>8</v>
      </c>
      <c r="M64">
        <f t="shared" si="18"/>
        <v>0.4533606489571429</v>
      </c>
      <c r="N64">
        <f t="shared" si="0"/>
        <v>0.42415329183114669</v>
      </c>
      <c r="O64">
        <f t="shared" si="1"/>
        <v>0.44776000610667349</v>
      </c>
      <c r="P64">
        <f t="shared" si="2"/>
        <v>0.55376432052547386</v>
      </c>
      <c r="Q64">
        <f t="shared" si="3"/>
        <v>0.29585441478878899</v>
      </c>
      <c r="R64">
        <f t="shared" si="4"/>
        <v>0.23094244163727856</v>
      </c>
      <c r="S64">
        <f t="shared" si="5"/>
        <v>0.41243598925358871</v>
      </c>
      <c r="U64" s="2">
        <f t="shared" si="23"/>
        <v>38749</v>
      </c>
      <c r="V64" t="s">
        <v>8</v>
      </c>
      <c r="W64">
        <f t="shared" si="19"/>
        <v>0.20553587802284176</v>
      </c>
      <c r="X64">
        <f t="shared" si="6"/>
        <v>0.1799060149711979</v>
      </c>
      <c r="Y64">
        <f t="shared" si="7"/>
        <v>0.20048902306864827</v>
      </c>
      <c r="Z64">
        <f t="shared" si="8"/>
        <v>0.30665492268703975</v>
      </c>
      <c r="AA64">
        <f t="shared" si="9"/>
        <v>8.7529834750016799E-2</v>
      </c>
      <c r="AB64">
        <f t="shared" si="10"/>
        <v>5.3334411349387816E-2</v>
      </c>
      <c r="AC64">
        <f t="shared" si="11"/>
        <v>0.17010344523158635</v>
      </c>
      <c r="AE64" s="2">
        <f t="shared" si="24"/>
        <v>38749</v>
      </c>
      <c r="AF64" t="s">
        <v>8</v>
      </c>
      <c r="AG64">
        <f t="shared" ref="AG64:AM64" si="76">SQRT(AVERAGE(W53:W64))</f>
        <v>0.4368070827380347</v>
      </c>
      <c r="AH64">
        <f t="shared" si="76"/>
        <v>0.46609045261772181</v>
      </c>
      <c r="AI64">
        <f t="shared" si="76"/>
        <v>0.43437371295844884</v>
      </c>
      <c r="AJ64">
        <f t="shared" si="76"/>
        <v>0.56781150004272329</v>
      </c>
      <c r="AK64">
        <f t="shared" si="76"/>
        <v>0.4539893439838954</v>
      </c>
      <c r="AL64">
        <f t="shared" si="76"/>
        <v>0.56285546328565406</v>
      </c>
      <c r="AM64">
        <f t="shared" si="76"/>
        <v>0.45870129589012765</v>
      </c>
    </row>
    <row r="65" spans="1:39" x14ac:dyDescent="0.3">
      <c r="A65" s="2">
        <f t="shared" si="21"/>
        <v>38777</v>
      </c>
      <c r="B65">
        <v>0.15033828940316241</v>
      </c>
      <c r="C65">
        <v>0.1899861218683</v>
      </c>
      <c r="D65">
        <v>0.2453100104139336</v>
      </c>
      <c r="E65">
        <v>0.19368241196144989</v>
      </c>
      <c r="F65">
        <v>5.0163030898886518E-2</v>
      </c>
      <c r="G65">
        <v>0.34548341244798447</v>
      </c>
      <c r="H65">
        <v>0.31952737125711123</v>
      </c>
      <c r="I65">
        <v>0.17531988616987509</v>
      </c>
      <c r="K65" s="2">
        <f t="shared" si="22"/>
        <v>38777</v>
      </c>
      <c r="L65" t="s">
        <v>8</v>
      </c>
      <c r="M65">
        <f t="shared" si="18"/>
        <v>3.9647832465137589E-2</v>
      </c>
      <c r="N65">
        <f t="shared" si="0"/>
        <v>9.4971721010771198E-2</v>
      </c>
      <c r="O65">
        <f t="shared" si="1"/>
        <v>4.3344122558287485E-2</v>
      </c>
      <c r="P65">
        <f t="shared" si="2"/>
        <v>0.10017525850427589</v>
      </c>
      <c r="Q65">
        <f t="shared" si="3"/>
        <v>0.19514512304482207</v>
      </c>
      <c r="R65">
        <f t="shared" si="4"/>
        <v>0.16918908185394882</v>
      </c>
      <c r="S65">
        <f t="shared" si="5"/>
        <v>2.4981596766712688E-2</v>
      </c>
      <c r="U65" s="2">
        <f t="shared" si="23"/>
        <v>38777</v>
      </c>
      <c r="V65" t="s">
        <v>8</v>
      </c>
      <c r="W65">
        <f t="shared" si="19"/>
        <v>1.5719506191836181E-3</v>
      </c>
      <c r="X65">
        <f t="shared" si="6"/>
        <v>9.0196277917477599E-3</v>
      </c>
      <c r="Y65">
        <f t="shared" si="7"/>
        <v>1.878712960347846E-3</v>
      </c>
      <c r="Z65">
        <f t="shared" si="8"/>
        <v>1.0035082416398498E-2</v>
      </c>
      <c r="AA65">
        <f t="shared" si="9"/>
        <v>3.8081619048178743E-2</v>
      </c>
      <c r="AB65">
        <f t="shared" si="10"/>
        <v>2.8624945418582192E-2</v>
      </c>
      <c r="AC65">
        <f t="shared" si="11"/>
        <v>6.2408017701462979E-4</v>
      </c>
      <c r="AE65" s="2">
        <f t="shared" si="24"/>
        <v>38777</v>
      </c>
      <c r="AF65" t="s">
        <v>8</v>
      </c>
      <c r="AG65">
        <f t="shared" ref="AG65:AM65" si="77">SQRT(AVERAGE(W54:W65))</f>
        <v>0.43679730824984669</v>
      </c>
      <c r="AH65">
        <f t="shared" si="77"/>
        <v>0.46689454005667491</v>
      </c>
      <c r="AI65">
        <f t="shared" si="77"/>
        <v>0.43437436079074504</v>
      </c>
      <c r="AJ65">
        <f t="shared" si="77"/>
        <v>0.56833759021500352</v>
      </c>
      <c r="AK65">
        <f t="shared" si="77"/>
        <v>0.45744590637148302</v>
      </c>
      <c r="AL65">
        <f t="shared" si="77"/>
        <v>0.5623552986778152</v>
      </c>
      <c r="AM65">
        <f t="shared" si="77"/>
        <v>0.45864938757673729</v>
      </c>
    </row>
    <row r="66" spans="1:39" x14ac:dyDescent="0.3">
      <c r="A66" s="2">
        <f t="shared" si="21"/>
        <v>38808</v>
      </c>
      <c r="B66">
        <v>0.4995015380522716</v>
      </c>
      <c r="C66">
        <v>0.30255833655071979</v>
      </c>
      <c r="D66">
        <v>0.28128396600010108</v>
      </c>
      <c r="E66">
        <v>0.30663263025352361</v>
      </c>
      <c r="F66">
        <v>0.15033828940316241</v>
      </c>
      <c r="G66">
        <v>0.34513179961366952</v>
      </c>
      <c r="H66">
        <v>7.8742375483430313E-2</v>
      </c>
      <c r="I66">
        <v>0.35990728023116447</v>
      </c>
      <c r="K66" s="2">
        <f t="shared" si="22"/>
        <v>38808</v>
      </c>
      <c r="L66" t="s">
        <v>8</v>
      </c>
      <c r="M66">
        <f t="shared" si="18"/>
        <v>0.19694320150155181</v>
      </c>
      <c r="N66">
        <f t="shared" si="0"/>
        <v>0.21821757205217052</v>
      </c>
      <c r="O66">
        <f t="shared" si="1"/>
        <v>0.19286890779874799</v>
      </c>
      <c r="P66">
        <f t="shared" si="2"/>
        <v>0.34916324864910919</v>
      </c>
      <c r="Q66">
        <f t="shared" si="3"/>
        <v>0.15436973843860208</v>
      </c>
      <c r="R66">
        <f t="shared" si="4"/>
        <v>0.42075916256884127</v>
      </c>
      <c r="S66">
        <f t="shared" si="5"/>
        <v>0.13959425782110713</v>
      </c>
      <c r="U66" s="2">
        <f t="shared" si="23"/>
        <v>38808</v>
      </c>
      <c r="V66" t="s">
        <v>8</v>
      </c>
      <c r="W66">
        <f t="shared" si="19"/>
        <v>3.8786624617680843E-2</v>
      </c>
      <c r="X66">
        <f t="shared" si="6"/>
        <v>4.761890875234423E-2</v>
      </c>
      <c r="Y66">
        <f t="shared" si="7"/>
        <v>3.7198415595481954E-2</v>
      </c>
      <c r="Z66">
        <f t="shared" si="8"/>
        <v>0.12191497420719966</v>
      </c>
      <c r="AA66">
        <f t="shared" si="9"/>
        <v>2.3830016145602421E-2</v>
      </c>
      <c r="AB66">
        <f t="shared" si="10"/>
        <v>0.17703827288563259</v>
      </c>
      <c r="AC66">
        <f t="shared" si="11"/>
        <v>1.9486556816625727E-2</v>
      </c>
      <c r="AE66" s="2">
        <f t="shared" si="24"/>
        <v>38808</v>
      </c>
      <c r="AF66" t="s">
        <v>8</v>
      </c>
      <c r="AG66">
        <f t="shared" ref="AG66:AM66" si="78">SQRT(AVERAGE(W55:W66))</f>
        <v>0.43934082195967272</v>
      </c>
      <c r="AH66">
        <f t="shared" si="78"/>
        <v>0.47112496047002184</v>
      </c>
      <c r="AI66">
        <f t="shared" si="78"/>
        <v>0.43661848024943883</v>
      </c>
      <c r="AJ66">
        <f t="shared" si="78"/>
        <v>0.57700412346301044</v>
      </c>
      <c r="AK66">
        <f t="shared" si="78"/>
        <v>0.45949166825596127</v>
      </c>
      <c r="AL66">
        <f t="shared" si="78"/>
        <v>0.57532219366657178</v>
      </c>
      <c r="AM66">
        <f t="shared" si="78"/>
        <v>0.46040822800770392</v>
      </c>
    </row>
    <row r="67" spans="1:39" x14ac:dyDescent="0.3">
      <c r="A67" s="2">
        <f t="shared" si="21"/>
        <v>38838</v>
      </c>
      <c r="B67">
        <v>0.29850768434540598</v>
      </c>
      <c r="C67">
        <v>0.42758965976505792</v>
      </c>
      <c r="D67">
        <v>0.45032015274389758</v>
      </c>
      <c r="E67">
        <v>0.42704201959885951</v>
      </c>
      <c r="F67">
        <v>0.4995015380522716</v>
      </c>
      <c r="G67">
        <v>0.34540944302812743</v>
      </c>
      <c r="H67">
        <v>0.2083679002905105</v>
      </c>
      <c r="I67">
        <v>0.37155110224524501</v>
      </c>
      <c r="K67" s="2">
        <f t="shared" si="22"/>
        <v>38838</v>
      </c>
      <c r="L67" t="s">
        <v>8</v>
      </c>
      <c r="M67">
        <f t="shared" si="18"/>
        <v>0.12908197541965194</v>
      </c>
      <c r="N67">
        <f t="shared" ref="N67:N130" si="79">ABS(D67-$B67)</f>
        <v>0.15181246839849161</v>
      </c>
      <c r="O67">
        <f t="shared" ref="O67:O130" si="80">ABS(E67-$B67)</f>
        <v>0.12853433525345354</v>
      </c>
      <c r="P67">
        <f t="shared" ref="P67:P130" si="81">ABS(F67-$B67)</f>
        <v>0.20099385370686562</v>
      </c>
      <c r="Q67">
        <f t="shared" ref="Q67:Q130" si="82">ABS(G67-$B67)</f>
        <v>4.6901758682721451E-2</v>
      </c>
      <c r="R67">
        <f t="shared" ref="R67:R130" si="83">ABS(H67-$B67)</f>
        <v>9.0139784054895478E-2</v>
      </c>
      <c r="S67">
        <f t="shared" ref="S67:S130" si="84">ABS(I67-$B67)</f>
        <v>7.3043417899839036E-2</v>
      </c>
      <c r="U67" s="2">
        <f t="shared" si="23"/>
        <v>38838</v>
      </c>
      <c r="V67" t="s">
        <v>8</v>
      </c>
      <c r="W67">
        <f t="shared" si="19"/>
        <v>1.6662156378239628E-2</v>
      </c>
      <c r="X67">
        <f t="shared" ref="X67:X130" si="85">(D67-$B67)^2</f>
        <v>2.3047025561243013E-2</v>
      </c>
      <c r="Y67">
        <f t="shared" ref="Y67:Y130" si="86">(E67-$B67)^2</f>
        <v>1.6521075339047189E-2</v>
      </c>
      <c r="Z67">
        <f t="shared" ref="Z67:Z130" si="87">(F67-$B67)^2</f>
        <v>4.0398529227936901E-2</v>
      </c>
      <c r="AA67">
        <f t="shared" ref="AA67:AA130" si="88">(G67-$B67)^2</f>
        <v>2.1997749675322369E-3</v>
      </c>
      <c r="AB67">
        <f t="shared" ref="AB67:AB130" si="89">(H67-$B67)^2</f>
        <v>8.125180669463189E-3</v>
      </c>
      <c r="AC67">
        <f t="shared" ref="AC67:AC130" si="90">(I67-$B67)^2</f>
        <v>5.335340898490526E-3</v>
      </c>
      <c r="AE67" s="2">
        <f t="shared" si="24"/>
        <v>38838</v>
      </c>
      <c r="AF67" t="s">
        <v>8</v>
      </c>
      <c r="AG67">
        <f t="shared" ref="AG67:AM67" si="91">SQRT(AVERAGE(W56:W67))</f>
        <v>0.42739713816223163</v>
      </c>
      <c r="AH67">
        <f t="shared" si="91"/>
        <v>0.45826931070981963</v>
      </c>
      <c r="AI67">
        <f t="shared" si="91"/>
        <v>0.4247082991810241</v>
      </c>
      <c r="AJ67">
        <f t="shared" si="91"/>
        <v>0.57042733937191448</v>
      </c>
      <c r="AK67">
        <f t="shared" si="91"/>
        <v>0.44509113964615832</v>
      </c>
      <c r="AL67">
        <f t="shared" si="91"/>
        <v>0.5679452192766723</v>
      </c>
      <c r="AM67">
        <f t="shared" si="91"/>
        <v>0.44981169372876145</v>
      </c>
    </row>
    <row r="68" spans="1:39" x14ac:dyDescent="0.3">
      <c r="A68" s="2">
        <f t="shared" si="21"/>
        <v>38869</v>
      </c>
      <c r="B68">
        <v>0.24807752737627811</v>
      </c>
      <c r="C68">
        <v>0.32121785357720611</v>
      </c>
      <c r="D68">
        <v>0.3669956247280235</v>
      </c>
      <c r="E68">
        <v>0.31564848292076192</v>
      </c>
      <c r="F68">
        <v>0.29850768434540598</v>
      </c>
      <c r="G68">
        <v>0.34532523879350852</v>
      </c>
      <c r="H68">
        <v>0.41242092736647218</v>
      </c>
      <c r="I68">
        <v>0.30083758542132361</v>
      </c>
      <c r="K68" s="2">
        <f t="shared" si="22"/>
        <v>38869</v>
      </c>
      <c r="L68" t="s">
        <v>8</v>
      </c>
      <c r="M68">
        <f t="shared" ref="M68:M131" si="92">ABS(C68-$B68)</f>
        <v>7.3140326200928002E-2</v>
      </c>
      <c r="N68">
        <f t="shared" si="79"/>
        <v>0.11891809735174538</v>
      </c>
      <c r="O68">
        <f t="shared" si="80"/>
        <v>6.7570955544483807E-2</v>
      </c>
      <c r="P68">
        <f t="shared" si="81"/>
        <v>5.0430156969127865E-2</v>
      </c>
      <c r="Q68">
        <f t="shared" si="82"/>
        <v>9.7247711417230404E-2</v>
      </c>
      <c r="R68">
        <f t="shared" si="83"/>
        <v>0.16434339999019407</v>
      </c>
      <c r="S68">
        <f t="shared" si="84"/>
        <v>5.2760058045045494E-2</v>
      </c>
      <c r="U68" s="2">
        <f t="shared" si="23"/>
        <v>38869</v>
      </c>
      <c r="V68" t="s">
        <v>8</v>
      </c>
      <c r="W68">
        <f t="shared" ref="W68:W131" si="93">(C68-$B68)^2</f>
        <v>5.3495073167781548E-3</v>
      </c>
      <c r="X68">
        <f t="shared" si="85"/>
        <v>1.4141513877759193E-2</v>
      </c>
      <c r="Y68">
        <f t="shared" si="86"/>
        <v>4.5658340331946072E-3</v>
      </c>
      <c r="Z68">
        <f t="shared" si="87"/>
        <v>2.543200731930876E-3</v>
      </c>
      <c r="AA68">
        <f t="shared" si="88"/>
        <v>9.4571173758889251E-3</v>
      </c>
      <c r="AB68">
        <f t="shared" si="89"/>
        <v>2.7008753120336921E-2</v>
      </c>
      <c r="AC68">
        <f t="shared" si="90"/>
        <v>2.7836237249165697E-3</v>
      </c>
      <c r="AE68" s="2">
        <f t="shared" si="24"/>
        <v>38869</v>
      </c>
      <c r="AF68" t="s">
        <v>8</v>
      </c>
      <c r="AG68">
        <f t="shared" ref="AG68:AM68" si="94">SQRT(AVERAGE(W57:W68))</f>
        <v>0.42618007376387051</v>
      </c>
      <c r="AH68">
        <f t="shared" si="94"/>
        <v>0.45504562365428386</v>
      </c>
      <c r="AI68">
        <f t="shared" si="94"/>
        <v>0.42335957829630344</v>
      </c>
      <c r="AJ68">
        <f t="shared" si="94"/>
        <v>0.56983366135499014</v>
      </c>
      <c r="AK68">
        <f t="shared" si="94"/>
        <v>0.43781812017045807</v>
      </c>
      <c r="AL68">
        <f t="shared" si="94"/>
        <v>0.56589855802595879</v>
      </c>
      <c r="AM68">
        <f t="shared" si="94"/>
        <v>0.44823714792565678</v>
      </c>
    </row>
    <row r="69" spans="1:39" x14ac:dyDescent="0.3">
      <c r="A69" s="2">
        <f t="shared" ref="A69:A132" si="95">EDATE(A68,1)</f>
        <v>38899</v>
      </c>
      <c r="B69">
        <v>0.54361389122599135</v>
      </c>
      <c r="C69">
        <v>0.32856199562433591</v>
      </c>
      <c r="D69">
        <v>0.30522642197271188</v>
      </c>
      <c r="E69">
        <v>0.32763032613463189</v>
      </c>
      <c r="F69">
        <v>0.24807752737627811</v>
      </c>
      <c r="G69">
        <v>0.34515095974078952</v>
      </c>
      <c r="H69">
        <v>0.28273979139180611</v>
      </c>
      <c r="I69">
        <v>0.31152642535079778</v>
      </c>
      <c r="K69" s="2">
        <f t="shared" ref="K69:K132" si="96">EDATE(K68,1)</f>
        <v>38899</v>
      </c>
      <c r="L69" t="s">
        <v>8</v>
      </c>
      <c r="M69">
        <f t="shared" si="92"/>
        <v>0.21505189560165544</v>
      </c>
      <c r="N69">
        <f t="shared" si="79"/>
        <v>0.23838746925327947</v>
      </c>
      <c r="O69">
        <f t="shared" si="80"/>
        <v>0.21598356509135946</v>
      </c>
      <c r="P69">
        <f t="shared" si="81"/>
        <v>0.29553636384971327</v>
      </c>
      <c r="Q69">
        <f t="shared" si="82"/>
        <v>0.19846293148520183</v>
      </c>
      <c r="R69">
        <f t="shared" si="83"/>
        <v>0.26087409983418525</v>
      </c>
      <c r="S69">
        <f t="shared" si="84"/>
        <v>0.23208746587519358</v>
      </c>
      <c r="U69" s="2">
        <f t="shared" ref="U69:U132" si="97">EDATE(U68,1)</f>
        <v>38899</v>
      </c>
      <c r="V69" t="s">
        <v>8</v>
      </c>
      <c r="W69">
        <f t="shared" si="93"/>
        <v>4.6247317801865313E-2</v>
      </c>
      <c r="X69">
        <f t="shared" si="85"/>
        <v>5.6828585496983268E-2</v>
      </c>
      <c r="Y69">
        <f t="shared" si="86"/>
        <v>4.6648900389573512E-2</v>
      </c>
      <c r="Z69">
        <f t="shared" si="87"/>
        <v>8.7341742357510105E-2</v>
      </c>
      <c r="AA69">
        <f t="shared" si="88"/>
        <v>3.9387535173699917E-2</v>
      </c>
      <c r="AB69">
        <f t="shared" si="89"/>
        <v>6.805529596429645E-2</v>
      </c>
      <c r="AC69">
        <f t="shared" si="90"/>
        <v>5.3864591816369142E-2</v>
      </c>
      <c r="AE69" s="2">
        <f t="shared" ref="AE69:AE132" si="98">EDATE(AE68,1)</f>
        <v>38899</v>
      </c>
      <c r="AF69" t="s">
        <v>8</v>
      </c>
      <c r="AG69">
        <f t="shared" ref="AG69:AM69" si="99">SQRT(AVERAGE(W58:W69))</f>
        <v>0.42153790062587781</v>
      </c>
      <c r="AH69">
        <f t="shared" si="99"/>
        <v>0.45019881714141058</v>
      </c>
      <c r="AI69">
        <f t="shared" si="99"/>
        <v>0.4191431478679396</v>
      </c>
      <c r="AJ69">
        <f t="shared" si="99"/>
        <v>0.55253591530459545</v>
      </c>
      <c r="AK69">
        <f t="shared" si="99"/>
        <v>0.43449382668148889</v>
      </c>
      <c r="AL69">
        <f t="shared" si="99"/>
        <v>0.55754844151563909</v>
      </c>
      <c r="AM69">
        <f t="shared" si="99"/>
        <v>0.4430632323840249</v>
      </c>
    </row>
    <row r="70" spans="1:39" x14ac:dyDescent="0.3">
      <c r="A70" s="2">
        <f t="shared" si="95"/>
        <v>38930</v>
      </c>
      <c r="B70">
        <v>0.44258739568556749</v>
      </c>
      <c r="C70">
        <v>0.41008707091475533</v>
      </c>
      <c r="D70">
        <v>0.41147548061304401</v>
      </c>
      <c r="E70">
        <v>0.40858747583360211</v>
      </c>
      <c r="F70">
        <v>0.54361389122599135</v>
      </c>
      <c r="G70">
        <v>0.34550599181858049</v>
      </c>
      <c r="H70">
        <v>0.29067070643017212</v>
      </c>
      <c r="I70">
        <v>0.33556057946005841</v>
      </c>
      <c r="K70" s="2">
        <f t="shared" si="96"/>
        <v>38930</v>
      </c>
      <c r="L70" t="s">
        <v>8</v>
      </c>
      <c r="M70">
        <f t="shared" si="92"/>
        <v>3.2500324770812161E-2</v>
      </c>
      <c r="N70">
        <f t="shared" si="79"/>
        <v>3.1111915072523477E-2</v>
      </c>
      <c r="O70">
        <f t="shared" si="80"/>
        <v>3.3999919851965377E-2</v>
      </c>
      <c r="P70">
        <f t="shared" si="81"/>
        <v>0.10102649554042387</v>
      </c>
      <c r="Q70">
        <f t="shared" si="82"/>
        <v>9.7081403866986993E-2</v>
      </c>
      <c r="R70">
        <f t="shared" si="83"/>
        <v>0.15191668925539537</v>
      </c>
      <c r="S70">
        <f t="shared" si="84"/>
        <v>0.10702681622550908</v>
      </c>
      <c r="U70" s="2">
        <f t="shared" si="97"/>
        <v>38930</v>
      </c>
      <c r="V70" t="s">
        <v>8</v>
      </c>
      <c r="W70">
        <f t="shared" si="93"/>
        <v>1.0562711102082665E-3</v>
      </c>
      <c r="X70">
        <f t="shared" si="85"/>
        <v>9.6795125947991357E-4</v>
      </c>
      <c r="Y70">
        <f t="shared" si="86"/>
        <v>1.1559945499400694E-3</v>
      </c>
      <c r="Z70">
        <f t="shared" si="87"/>
        <v>1.0206352801179283E-2</v>
      </c>
      <c r="AA70">
        <f t="shared" si="88"/>
        <v>9.4247989767850364E-3</v>
      </c>
      <c r="AB70">
        <f t="shared" si="89"/>
        <v>2.3078680474320358E-2</v>
      </c>
      <c r="AC70">
        <f t="shared" si="90"/>
        <v>1.1454739391368894E-2</v>
      </c>
      <c r="AE70" s="2">
        <f t="shared" si="98"/>
        <v>38930</v>
      </c>
      <c r="AF70" t="s">
        <v>8</v>
      </c>
      <c r="AG70">
        <f t="shared" ref="AG70:AM70" si="100">SQRT(AVERAGE(W59:W70))</f>
        <v>0.41776636362607428</v>
      </c>
      <c r="AH70">
        <f t="shared" si="100"/>
        <v>0.44594275760638524</v>
      </c>
      <c r="AI70">
        <f t="shared" si="100"/>
        <v>0.41557957734506856</v>
      </c>
      <c r="AJ70">
        <f t="shared" si="100"/>
        <v>0.55330395760257089</v>
      </c>
      <c r="AK70">
        <f t="shared" si="100"/>
        <v>0.42846391959810898</v>
      </c>
      <c r="AL70">
        <f t="shared" si="100"/>
        <v>0.54468536204275209</v>
      </c>
      <c r="AM70">
        <f t="shared" si="100"/>
        <v>0.43658041037949991</v>
      </c>
    </row>
    <row r="71" spans="1:39" x14ac:dyDescent="0.3">
      <c r="A71" s="2">
        <f t="shared" si="95"/>
        <v>38961</v>
      </c>
      <c r="B71">
        <v>-0.49188490715961208</v>
      </c>
      <c r="C71">
        <v>0.33803481651489331</v>
      </c>
      <c r="D71">
        <v>0.34681774676730209</v>
      </c>
      <c r="E71">
        <v>0.3339480811090435</v>
      </c>
      <c r="F71">
        <v>0.44258739568556749</v>
      </c>
      <c r="G71">
        <v>0.345679351468343</v>
      </c>
      <c r="H71">
        <v>0.44858569060914738</v>
      </c>
      <c r="I71">
        <v>0.31305931330384917</v>
      </c>
      <c r="K71" s="2">
        <f t="shared" si="96"/>
        <v>38961</v>
      </c>
      <c r="L71" t="s">
        <v>8</v>
      </c>
      <c r="M71">
        <f t="shared" si="92"/>
        <v>0.82991972367450539</v>
      </c>
      <c r="N71">
        <f t="shared" si="79"/>
        <v>0.83870265392691423</v>
      </c>
      <c r="O71">
        <f t="shared" si="80"/>
        <v>0.82583298826865559</v>
      </c>
      <c r="P71">
        <f t="shared" si="81"/>
        <v>0.93447230284517957</v>
      </c>
      <c r="Q71">
        <f t="shared" si="82"/>
        <v>0.83756425862795503</v>
      </c>
      <c r="R71">
        <f t="shared" si="83"/>
        <v>0.94047059776875952</v>
      </c>
      <c r="S71">
        <f t="shared" si="84"/>
        <v>0.80494422046346126</v>
      </c>
      <c r="U71" s="2">
        <f t="shared" si="97"/>
        <v>38961</v>
      </c>
      <c r="V71" t="s">
        <v>8</v>
      </c>
      <c r="W71">
        <f t="shared" si="93"/>
        <v>0.6887667477439674</v>
      </c>
      <c r="X71">
        <f t="shared" si="85"/>
        <v>0.70342214170404926</v>
      </c>
      <c r="Y71">
        <f t="shared" si="86"/>
        <v>0.68200012451273739</v>
      </c>
      <c r="Z71">
        <f t="shared" si="87"/>
        <v>0.87323848478477295</v>
      </c>
      <c r="AA71">
        <f t="shared" si="88"/>
        <v>0.70151388733099596</v>
      </c>
      <c r="AB71">
        <f t="shared" si="89"/>
        <v>0.88448494526752786</v>
      </c>
      <c r="AC71">
        <f t="shared" si="90"/>
        <v>0.6479351980575293</v>
      </c>
      <c r="AE71" s="2">
        <f t="shared" si="98"/>
        <v>38961</v>
      </c>
      <c r="AF71" t="s">
        <v>8</v>
      </c>
      <c r="AG71">
        <f t="shared" ref="AG71:AM71" si="101">SQRT(AVERAGE(W60:W71))</f>
        <v>0.40256109030460885</v>
      </c>
      <c r="AH71">
        <f t="shared" si="101"/>
        <v>0.429226079084159</v>
      </c>
      <c r="AI71">
        <f t="shared" si="101"/>
        <v>0.39998947307064436</v>
      </c>
      <c r="AJ71">
        <f t="shared" si="101"/>
        <v>0.57583296872556622</v>
      </c>
      <c r="AK71">
        <f t="shared" si="101"/>
        <v>0.3938663382374985</v>
      </c>
      <c r="AL71">
        <f t="shared" si="101"/>
        <v>0.5382993821261447</v>
      </c>
      <c r="AM71">
        <f t="shared" si="101"/>
        <v>0.40494289008975287</v>
      </c>
    </row>
    <row r="72" spans="1:39" x14ac:dyDescent="0.3">
      <c r="A72" s="2">
        <f t="shared" si="95"/>
        <v>38991</v>
      </c>
      <c r="B72">
        <v>-0.44477463982364179</v>
      </c>
      <c r="C72">
        <v>3.1641011239142338E-3</v>
      </c>
      <c r="D72">
        <v>8.2527181862221979E-2</v>
      </c>
      <c r="E72">
        <v>-6.5811747657628129E-3</v>
      </c>
      <c r="F72">
        <v>-0.49188490715961208</v>
      </c>
      <c r="G72">
        <v>0.34418636705011141</v>
      </c>
      <c r="H72">
        <v>0.39413791023692257</v>
      </c>
      <c r="I72">
        <v>8.1892420517211462E-2</v>
      </c>
      <c r="K72" s="2">
        <f t="shared" si="96"/>
        <v>38991</v>
      </c>
      <c r="L72" t="s">
        <v>8</v>
      </c>
      <c r="M72">
        <f t="shared" si="92"/>
        <v>0.44793874094755604</v>
      </c>
      <c r="N72">
        <f t="shared" si="79"/>
        <v>0.52730182168586381</v>
      </c>
      <c r="O72">
        <f t="shared" si="80"/>
        <v>0.43819346505787898</v>
      </c>
      <c r="P72">
        <f t="shared" si="81"/>
        <v>4.7110267335970291E-2</v>
      </c>
      <c r="Q72">
        <f t="shared" si="82"/>
        <v>0.78896100687375315</v>
      </c>
      <c r="R72">
        <f t="shared" si="83"/>
        <v>0.83891255006056431</v>
      </c>
      <c r="S72">
        <f t="shared" si="84"/>
        <v>0.5266670603408532</v>
      </c>
      <c r="U72" s="2">
        <f t="shared" si="97"/>
        <v>38991</v>
      </c>
      <c r="V72" t="s">
        <v>8</v>
      </c>
      <c r="W72">
        <f t="shared" si="93"/>
        <v>0.20064911564168172</v>
      </c>
      <c r="X72">
        <f t="shared" si="85"/>
        <v>0.2780472111532305</v>
      </c>
      <c r="Y72">
        <f t="shared" si="86"/>
        <v>0.1920135128194306</v>
      </c>
      <c r="Z72">
        <f t="shared" si="87"/>
        <v>2.2193772884665894E-3</v>
      </c>
      <c r="AA72">
        <f t="shared" si="88"/>
        <v>0.62245947036724636</v>
      </c>
      <c r="AB72">
        <f t="shared" si="89"/>
        <v>0.7037742666491188</v>
      </c>
      <c r="AC72">
        <f t="shared" si="90"/>
        <v>0.27737819244807588</v>
      </c>
      <c r="AE72" s="2">
        <f t="shared" si="98"/>
        <v>38991</v>
      </c>
      <c r="AF72" t="s">
        <v>8</v>
      </c>
      <c r="AG72">
        <f t="shared" ref="AG72:AM72" si="102">SQRT(AVERAGE(W61:W72))</f>
        <v>0.4028845815926268</v>
      </c>
      <c r="AH72">
        <f t="shared" si="102"/>
        <v>0.43928045477489397</v>
      </c>
      <c r="AI72">
        <f t="shared" si="102"/>
        <v>0.39953622798353422</v>
      </c>
      <c r="AJ72">
        <f t="shared" si="102"/>
        <v>0.45652221263434151</v>
      </c>
      <c r="AK72">
        <f t="shared" si="102"/>
        <v>0.45139641815551845</v>
      </c>
      <c r="AL72">
        <f t="shared" si="102"/>
        <v>0.58469952870500275</v>
      </c>
      <c r="AM72">
        <f t="shared" si="102"/>
        <v>0.41031512687741928</v>
      </c>
    </row>
    <row r="73" spans="1:39" x14ac:dyDescent="0.3">
      <c r="A73" s="2">
        <f t="shared" si="95"/>
        <v>39022</v>
      </c>
      <c r="B73">
        <v>4.9517208241312012E-2</v>
      </c>
      <c r="C73">
        <v>0.1046103972702495</v>
      </c>
      <c r="D73">
        <v>0.1973458888041211</v>
      </c>
      <c r="E73">
        <v>0.1102915083252545</v>
      </c>
      <c r="F73">
        <v>-0.44477463982364179</v>
      </c>
      <c r="G73">
        <v>0.34278252184215102</v>
      </c>
      <c r="H73">
        <v>-1.1190289057711651E-2</v>
      </c>
      <c r="I73">
        <v>1.4637419215311361E-3</v>
      </c>
      <c r="K73" s="2">
        <f t="shared" si="96"/>
        <v>39022</v>
      </c>
      <c r="L73" t="s">
        <v>8</v>
      </c>
      <c r="M73">
        <f t="shared" si="92"/>
        <v>5.5093189028937485E-2</v>
      </c>
      <c r="N73">
        <f t="shared" si="79"/>
        <v>0.14782868056280909</v>
      </c>
      <c r="O73">
        <f t="shared" si="80"/>
        <v>6.0774300083942488E-2</v>
      </c>
      <c r="P73">
        <f t="shared" si="81"/>
        <v>0.4942918480649538</v>
      </c>
      <c r="Q73">
        <f t="shared" si="82"/>
        <v>0.29326531360083902</v>
      </c>
      <c r="R73">
        <f t="shared" si="83"/>
        <v>6.0707497299023666E-2</v>
      </c>
      <c r="S73">
        <f t="shared" si="84"/>
        <v>4.8053466319780878E-2</v>
      </c>
      <c r="U73" s="2">
        <f t="shared" si="97"/>
        <v>39022</v>
      </c>
      <c r="V73" t="s">
        <v>8</v>
      </c>
      <c r="W73">
        <f t="shared" si="93"/>
        <v>3.0352594773782379E-3</v>
      </c>
      <c r="X73">
        <f t="shared" si="85"/>
        <v>2.1853318796941051E-2</v>
      </c>
      <c r="Y73">
        <f t="shared" si="86"/>
        <v>3.6935155506930919E-3</v>
      </c>
      <c r="Z73">
        <f t="shared" si="87"/>
        <v>0.24432443106346738</v>
      </c>
      <c r="AA73">
        <f t="shared" si="88"/>
        <v>8.6004544161398452E-2</v>
      </c>
      <c r="AB73">
        <f t="shared" si="89"/>
        <v>3.6854002283109658E-3</v>
      </c>
      <c r="AC73">
        <f t="shared" si="90"/>
        <v>2.3091356253463154E-3</v>
      </c>
      <c r="AE73" s="2">
        <f t="shared" si="98"/>
        <v>39022</v>
      </c>
      <c r="AF73" t="s">
        <v>8</v>
      </c>
      <c r="AG73">
        <f t="shared" ref="AG73:AM73" si="103">SQRT(AVERAGE(W62:W73))</f>
        <v>0.32539724787647589</v>
      </c>
      <c r="AH73">
        <f t="shared" si="103"/>
        <v>0.34508765582352563</v>
      </c>
      <c r="AI73">
        <f t="shared" si="103"/>
        <v>0.32164072940653532</v>
      </c>
      <c r="AJ73">
        <f t="shared" si="103"/>
        <v>0.43942609453953552</v>
      </c>
      <c r="AK73">
        <f t="shared" si="103"/>
        <v>0.38799550035690539</v>
      </c>
      <c r="AL73">
        <f t="shared" si="103"/>
        <v>0.4514292186758016</v>
      </c>
      <c r="AM73">
        <f t="shared" si="103"/>
        <v>0.32487089562538946</v>
      </c>
    </row>
    <row r="74" spans="1:39" x14ac:dyDescent="0.3">
      <c r="A74" s="2">
        <f t="shared" si="95"/>
        <v>39052</v>
      </c>
      <c r="B74">
        <v>0.54307711851340201</v>
      </c>
      <c r="C74">
        <v>0.26742688923118157</v>
      </c>
      <c r="D74">
        <v>0.27362258946569329</v>
      </c>
      <c r="E74">
        <v>0.27318901159164138</v>
      </c>
      <c r="F74">
        <v>4.9517208241312012E-2</v>
      </c>
      <c r="G74">
        <v>0.34226162430467172</v>
      </c>
      <c r="H74">
        <v>-2.517762814214974E-2</v>
      </c>
      <c r="I74">
        <v>0.28712188660807231</v>
      </c>
      <c r="K74" s="2">
        <f t="shared" si="96"/>
        <v>39052</v>
      </c>
      <c r="L74" t="s">
        <v>8</v>
      </c>
      <c r="M74">
        <f t="shared" si="92"/>
        <v>0.27565022928222044</v>
      </c>
      <c r="N74">
        <f t="shared" si="79"/>
        <v>0.26945452904770872</v>
      </c>
      <c r="O74">
        <f t="shared" si="80"/>
        <v>0.26988810692176063</v>
      </c>
      <c r="P74">
        <f t="shared" si="81"/>
        <v>0.49355991027209001</v>
      </c>
      <c r="Q74">
        <f t="shared" si="82"/>
        <v>0.20081549420873029</v>
      </c>
      <c r="R74">
        <f t="shared" si="83"/>
        <v>0.56825474665555176</v>
      </c>
      <c r="S74">
        <f t="shared" si="84"/>
        <v>0.25595523190532971</v>
      </c>
      <c r="U74" s="2">
        <f t="shared" si="97"/>
        <v>39052</v>
      </c>
      <c r="V74" t="s">
        <v>8</v>
      </c>
      <c r="W74">
        <f t="shared" si="93"/>
        <v>7.5983048903340691E-2</v>
      </c>
      <c r="X74">
        <f t="shared" si="85"/>
        <v>7.2605743224322505E-2</v>
      </c>
      <c r="Y74">
        <f t="shared" si="86"/>
        <v>7.2839590257811698E-2</v>
      </c>
      <c r="Z74">
        <f t="shared" si="87"/>
        <v>0.24360138502779355</v>
      </c>
      <c r="AA74">
        <f t="shared" si="88"/>
        <v>4.0326862714296592E-2</v>
      </c>
      <c r="AB74">
        <f t="shared" si="89"/>
        <v>0.32291345709656533</v>
      </c>
      <c r="AC74">
        <f t="shared" si="90"/>
        <v>6.5513080739711113E-2</v>
      </c>
      <c r="AE74" s="2">
        <f t="shared" si="98"/>
        <v>39052</v>
      </c>
      <c r="AF74" t="s">
        <v>8</v>
      </c>
      <c r="AG74">
        <f t="shared" ref="AG74:AM74" si="104">SQRT(AVERAGE(W63:W74))</f>
        <v>0.33258126917241787</v>
      </c>
      <c r="AH74">
        <f t="shared" si="104"/>
        <v>0.34416317789331768</v>
      </c>
      <c r="AI74">
        <f t="shared" si="104"/>
        <v>0.32813595211512614</v>
      </c>
      <c r="AJ74">
        <f t="shared" si="104"/>
        <v>0.43848287009415954</v>
      </c>
      <c r="AK74">
        <f t="shared" si="104"/>
        <v>0.37936066878984998</v>
      </c>
      <c r="AL74">
        <f t="shared" si="104"/>
        <v>0.46276633628738417</v>
      </c>
      <c r="AM74">
        <f t="shared" si="104"/>
        <v>0.33255854306834898</v>
      </c>
    </row>
    <row r="75" spans="1:39" x14ac:dyDescent="0.3">
      <c r="A75" s="2">
        <f t="shared" si="95"/>
        <v>39083</v>
      </c>
      <c r="B75">
        <v>0.16579060562325049</v>
      </c>
      <c r="C75">
        <v>0.33099263244042187</v>
      </c>
      <c r="D75">
        <v>0.28612073287789103</v>
      </c>
      <c r="E75">
        <v>0.32679090800890342</v>
      </c>
      <c r="F75">
        <v>0.54307711851340201</v>
      </c>
      <c r="G75">
        <v>0.34261768014546728</v>
      </c>
      <c r="H75">
        <v>0.1080063941782396</v>
      </c>
      <c r="I75">
        <v>0.35172938804579229</v>
      </c>
      <c r="K75" s="2">
        <f t="shared" si="96"/>
        <v>39083</v>
      </c>
      <c r="L75" t="s">
        <v>8</v>
      </c>
      <c r="M75">
        <f t="shared" si="92"/>
        <v>0.16520202681717139</v>
      </c>
      <c r="N75">
        <f t="shared" si="79"/>
        <v>0.12033012725464054</v>
      </c>
      <c r="O75">
        <f t="shared" si="80"/>
        <v>0.16100030238565294</v>
      </c>
      <c r="P75">
        <f t="shared" si="81"/>
        <v>0.37728651289015153</v>
      </c>
      <c r="Q75">
        <f t="shared" si="82"/>
        <v>0.1768270745222168</v>
      </c>
      <c r="R75">
        <f t="shared" si="83"/>
        <v>5.7784211445010891E-2</v>
      </c>
      <c r="S75">
        <f t="shared" si="84"/>
        <v>0.1859387824225418</v>
      </c>
      <c r="U75" s="2">
        <f t="shared" si="97"/>
        <v>39083</v>
      </c>
      <c r="V75" t="s">
        <v>8</v>
      </c>
      <c r="W75">
        <f t="shared" si="93"/>
        <v>2.7291709664501413E-2</v>
      </c>
      <c r="X75">
        <f t="shared" si="85"/>
        <v>1.4479339525117986E-2</v>
      </c>
      <c r="Y75">
        <f t="shared" si="86"/>
        <v>2.5921097368271685E-2</v>
      </c>
      <c r="Z75">
        <f t="shared" si="87"/>
        <v>0.14234511280881049</v>
      </c>
      <c r="AA75">
        <f t="shared" si="88"/>
        <v>3.1267814284085614E-2</v>
      </c>
      <c r="AB75">
        <f t="shared" si="89"/>
        <v>3.3390150923217278E-3</v>
      </c>
      <c r="AC75">
        <f t="shared" si="90"/>
        <v>3.457323080877734E-2</v>
      </c>
      <c r="AE75" s="2">
        <f t="shared" si="98"/>
        <v>39083</v>
      </c>
      <c r="AF75" t="s">
        <v>8</v>
      </c>
      <c r="AG75">
        <f t="shared" ref="AG75:AM75" si="105">SQRT(AVERAGE(W64:W75))</f>
        <v>0.33052175764207348</v>
      </c>
      <c r="AH75">
        <f t="shared" si="105"/>
        <v>0.34423071019719909</v>
      </c>
      <c r="AI75">
        <f t="shared" si="105"/>
        <v>0.3272264501897193</v>
      </c>
      <c r="AJ75">
        <f t="shared" si="105"/>
        <v>0.41681566623253924</v>
      </c>
      <c r="AK75">
        <f t="shared" si="105"/>
        <v>0.37544232527510435</v>
      </c>
      <c r="AL75">
        <f t="shared" si="105"/>
        <v>0.43812694357304177</v>
      </c>
      <c r="AM75">
        <f t="shared" si="105"/>
        <v>0.32804486681649353</v>
      </c>
    </row>
    <row r="76" spans="1:39" x14ac:dyDescent="0.3">
      <c r="A76" s="2">
        <f t="shared" si="95"/>
        <v>39114</v>
      </c>
      <c r="B76">
        <v>0.38708491335395218</v>
      </c>
      <c r="C76">
        <v>0.19064036272820109</v>
      </c>
      <c r="D76">
        <v>0.21418832169835311</v>
      </c>
      <c r="E76">
        <v>0.1754281750304571</v>
      </c>
      <c r="F76">
        <v>0.16579060562325049</v>
      </c>
      <c r="G76">
        <v>0.34230471187197659</v>
      </c>
      <c r="H76">
        <v>0.1988054203243379</v>
      </c>
      <c r="I76">
        <v>0.17852259028360351</v>
      </c>
      <c r="K76" s="2">
        <f t="shared" si="96"/>
        <v>39114</v>
      </c>
      <c r="L76" t="s">
        <v>8</v>
      </c>
      <c r="M76">
        <f t="shared" si="92"/>
        <v>0.19644455062575109</v>
      </c>
      <c r="N76">
        <f t="shared" si="79"/>
        <v>0.17289659165559906</v>
      </c>
      <c r="O76">
        <f t="shared" si="80"/>
        <v>0.21165673832349507</v>
      </c>
      <c r="P76">
        <f t="shared" si="81"/>
        <v>0.22129430773070169</v>
      </c>
      <c r="Q76">
        <f t="shared" si="82"/>
        <v>4.478020148197559E-2</v>
      </c>
      <c r="R76">
        <f t="shared" si="83"/>
        <v>0.18827949302961428</v>
      </c>
      <c r="S76">
        <f t="shared" si="84"/>
        <v>0.20856232307034867</v>
      </c>
      <c r="U76" s="2">
        <f t="shared" si="97"/>
        <v>39114</v>
      </c>
      <c r="V76" t="s">
        <v>8</v>
      </c>
      <c r="W76">
        <f t="shared" si="93"/>
        <v>3.8590461470553283E-2</v>
      </c>
      <c r="X76">
        <f t="shared" si="85"/>
        <v>2.9893231406122968E-2</v>
      </c>
      <c r="Y76">
        <f t="shared" si="86"/>
        <v>4.4798574877740471E-2</v>
      </c>
      <c r="Z76">
        <f t="shared" si="87"/>
        <v>4.8971170634010498E-2</v>
      </c>
      <c r="AA76">
        <f t="shared" si="88"/>
        <v>2.0052664447663287E-3</v>
      </c>
      <c r="AB76">
        <f t="shared" si="89"/>
        <v>3.544916749548857E-2</v>
      </c>
      <c r="AC76">
        <f t="shared" si="90"/>
        <v>4.3498242604500491E-2</v>
      </c>
      <c r="AE76" s="2">
        <f t="shared" si="98"/>
        <v>39114</v>
      </c>
      <c r="AF76" t="s">
        <v>8</v>
      </c>
      <c r="AG76">
        <f t="shared" ref="AG76:AM76" si="106">SQRT(AVERAGE(W65:W76))</f>
        <v>0.30875963827673708</v>
      </c>
      <c r="AH76">
        <f t="shared" si="106"/>
        <v>0.32556676204087304</v>
      </c>
      <c r="AI76">
        <f t="shared" si="106"/>
        <v>0.30676203429996979</v>
      </c>
      <c r="AJ76">
        <f t="shared" si="106"/>
        <v>0.39020719318389868</v>
      </c>
      <c r="AK76">
        <f t="shared" si="106"/>
        <v>0.3658276810866099</v>
      </c>
      <c r="AL76">
        <f t="shared" si="106"/>
        <v>0.43642270987751125</v>
      </c>
      <c r="AM76">
        <f t="shared" si="106"/>
        <v>0.31154935578876397</v>
      </c>
    </row>
    <row r="77" spans="1:39" x14ac:dyDescent="0.3">
      <c r="A77" s="2">
        <f t="shared" si="95"/>
        <v>39142</v>
      </c>
      <c r="B77">
        <v>0.51866474931996365</v>
      </c>
      <c r="C77">
        <v>0.43280562357086633</v>
      </c>
      <c r="D77">
        <v>0.40824089793329771</v>
      </c>
      <c r="E77">
        <v>0.43629826328663063</v>
      </c>
      <c r="F77">
        <v>0.38708491335395218</v>
      </c>
      <c r="G77">
        <v>0.34238382883572571</v>
      </c>
      <c r="H77">
        <v>0.1240295978580179</v>
      </c>
      <c r="I77">
        <v>0.36004575195976057</v>
      </c>
      <c r="K77" s="2">
        <f t="shared" si="96"/>
        <v>39142</v>
      </c>
      <c r="L77" t="s">
        <v>8</v>
      </c>
      <c r="M77">
        <f t="shared" si="92"/>
        <v>8.585912574909732E-2</v>
      </c>
      <c r="N77">
        <f t="shared" si="79"/>
        <v>0.11042385138666594</v>
      </c>
      <c r="O77">
        <f t="shared" si="80"/>
        <v>8.236648603333302E-2</v>
      </c>
      <c r="P77">
        <f t="shared" si="81"/>
        <v>0.13157983596601147</v>
      </c>
      <c r="Q77">
        <f t="shared" si="82"/>
        <v>0.17628092048423794</v>
      </c>
      <c r="R77">
        <f t="shared" si="83"/>
        <v>0.39463515146194572</v>
      </c>
      <c r="S77">
        <f t="shared" si="84"/>
        <v>0.15861899736020307</v>
      </c>
      <c r="U77" s="2">
        <f t="shared" si="97"/>
        <v>39142</v>
      </c>
      <c r="V77" t="s">
        <v>8</v>
      </c>
      <c r="W77">
        <f t="shared" si="93"/>
        <v>7.3717894743993064E-3</v>
      </c>
      <c r="X77">
        <f t="shared" si="85"/>
        <v>1.2193426955064484E-2</v>
      </c>
      <c r="Y77">
        <f t="shared" si="86"/>
        <v>6.7842380214792435E-3</v>
      </c>
      <c r="Z77">
        <f t="shared" si="87"/>
        <v>1.7313253232842486E-2</v>
      </c>
      <c r="AA77">
        <f t="shared" si="88"/>
        <v>3.1074962926770217E-2</v>
      </c>
      <c r="AB77">
        <f t="shared" si="89"/>
        <v>0.15573690276939284</v>
      </c>
      <c r="AC77">
        <f t="shared" si="90"/>
        <v>2.5159986323556111E-2</v>
      </c>
      <c r="AE77" s="2">
        <f t="shared" si="98"/>
        <v>39142</v>
      </c>
      <c r="AF77" t="s">
        <v>8</v>
      </c>
      <c r="AG77">
        <f t="shared" ref="AG77:AM77" si="107">SQRT(AVERAGE(W66:W77))</f>
        <v>0.30954132863542283</v>
      </c>
      <c r="AH77">
        <f t="shared" si="107"/>
        <v>0.32597269795089923</v>
      </c>
      <c r="AI77">
        <f t="shared" si="107"/>
        <v>0.30742761659120693</v>
      </c>
      <c r="AJ77">
        <f t="shared" si="107"/>
        <v>0.3909835902530438</v>
      </c>
      <c r="AK77">
        <f t="shared" si="107"/>
        <v>0.36502877179626397</v>
      </c>
      <c r="AL77">
        <f t="shared" si="107"/>
        <v>0.44839429613834064</v>
      </c>
      <c r="AM77">
        <f t="shared" si="107"/>
        <v>0.31481369083624516</v>
      </c>
    </row>
    <row r="78" spans="1:39" x14ac:dyDescent="0.3">
      <c r="A78" s="2">
        <f t="shared" si="95"/>
        <v>39173</v>
      </c>
      <c r="B78">
        <v>0.29961694819986562</v>
      </c>
      <c r="C78">
        <v>0.38050743391944192</v>
      </c>
      <c r="D78">
        <v>0.36278992812082872</v>
      </c>
      <c r="E78">
        <v>0.37081607284864021</v>
      </c>
      <c r="F78">
        <v>0.51866474931996365</v>
      </c>
      <c r="G78">
        <v>0.34269472993005418</v>
      </c>
      <c r="H78">
        <v>0.32419460485644003</v>
      </c>
      <c r="I78">
        <v>0.34336330702779583</v>
      </c>
      <c r="K78" s="2">
        <f t="shared" si="96"/>
        <v>39173</v>
      </c>
      <c r="L78" t="s">
        <v>8</v>
      </c>
      <c r="M78">
        <f t="shared" si="92"/>
        <v>8.0890485719576299E-2</v>
      </c>
      <c r="N78">
        <f t="shared" si="79"/>
        <v>6.3172979920963102E-2</v>
      </c>
      <c r="O78">
        <f t="shared" si="80"/>
        <v>7.1199124648774592E-2</v>
      </c>
      <c r="P78">
        <f t="shared" si="81"/>
        <v>0.21904780112009803</v>
      </c>
      <c r="Q78">
        <f t="shared" si="82"/>
        <v>4.3077781730188558E-2</v>
      </c>
      <c r="R78">
        <f t="shared" si="83"/>
        <v>2.4577656656574409E-2</v>
      </c>
      <c r="S78">
        <f t="shared" si="84"/>
        <v>4.374635882793021E-2</v>
      </c>
      <c r="U78" s="2">
        <f t="shared" si="97"/>
        <v>39173</v>
      </c>
      <c r="V78" t="s">
        <v>8</v>
      </c>
      <c r="W78">
        <f t="shared" si="93"/>
        <v>6.5432706799489768E-3</v>
      </c>
      <c r="X78">
        <f t="shared" si="85"/>
        <v>3.9908253920944072E-3</v>
      </c>
      <c r="Y78">
        <f t="shared" si="86"/>
        <v>5.0693153507517415E-3</v>
      </c>
      <c r="Z78">
        <f t="shared" si="87"/>
        <v>4.798193917555002E-2</v>
      </c>
      <c r="AA78">
        <f t="shared" si="88"/>
        <v>1.855695278793767E-3</v>
      </c>
      <c r="AB78">
        <f t="shared" si="89"/>
        <v>6.0406120672845632E-4</v>
      </c>
      <c r="AC78">
        <f t="shared" si="90"/>
        <v>1.9137439107020273E-3</v>
      </c>
      <c r="AE78" s="2">
        <f t="shared" si="98"/>
        <v>39173</v>
      </c>
      <c r="AF78" t="s">
        <v>8</v>
      </c>
      <c r="AG78">
        <f t="shared" ref="AG78:AM78" si="108">SQRT(AVERAGE(W67:W78))</f>
        <v>0.30517026062823555</v>
      </c>
      <c r="AH78">
        <f t="shared" si="108"/>
        <v>0.32034750849044236</v>
      </c>
      <c r="AI78">
        <f t="shared" si="108"/>
        <v>0.30304177009540439</v>
      </c>
      <c r="AJ78">
        <f t="shared" si="108"/>
        <v>0.38302360448740308</v>
      </c>
      <c r="AK78">
        <f t="shared" si="108"/>
        <v>0.36251180785392578</v>
      </c>
      <c r="AL78">
        <f t="shared" si="108"/>
        <v>0.43168807469764081</v>
      </c>
      <c r="AM78">
        <f t="shared" si="108"/>
        <v>0.31247921348858598</v>
      </c>
    </row>
    <row r="79" spans="1:39" x14ac:dyDescent="0.3">
      <c r="A79" s="2">
        <f t="shared" si="95"/>
        <v>39203</v>
      </c>
      <c r="B79">
        <v>0.41244766569237262</v>
      </c>
      <c r="C79">
        <v>0.38115429517359689</v>
      </c>
      <c r="D79">
        <v>0.33571118110607368</v>
      </c>
      <c r="E79">
        <v>0.37153316401589259</v>
      </c>
      <c r="F79">
        <v>0.29961694819986562</v>
      </c>
      <c r="G79">
        <v>0.34261888876503621</v>
      </c>
      <c r="H79">
        <v>0.44993941757180472</v>
      </c>
      <c r="I79">
        <v>0.33148706625085311</v>
      </c>
      <c r="K79" s="2">
        <f t="shared" si="96"/>
        <v>39203</v>
      </c>
      <c r="L79" t="s">
        <v>8</v>
      </c>
      <c r="M79">
        <f t="shared" si="92"/>
        <v>3.1293370518775732E-2</v>
      </c>
      <c r="N79">
        <f t="shared" si="79"/>
        <v>7.6736484586298948E-2</v>
      </c>
      <c r="O79">
        <f t="shared" si="80"/>
        <v>4.0914501676480031E-2</v>
      </c>
      <c r="P79">
        <f t="shared" si="81"/>
        <v>0.112830717492507</v>
      </c>
      <c r="Q79">
        <f t="shared" si="82"/>
        <v>6.9828776927336411E-2</v>
      </c>
      <c r="R79">
        <f t="shared" si="83"/>
        <v>3.74917518794321E-2</v>
      </c>
      <c r="S79">
        <f t="shared" si="84"/>
        <v>8.096059944151951E-2</v>
      </c>
      <c r="U79" s="2">
        <f t="shared" si="97"/>
        <v>39203</v>
      </c>
      <c r="V79" t="s">
        <v>8</v>
      </c>
      <c r="W79">
        <f t="shared" si="93"/>
        <v>9.7927503842538217E-4</v>
      </c>
      <c r="X79">
        <f t="shared" si="85"/>
        <v>5.8884880666632963E-3</v>
      </c>
      <c r="Y79">
        <f t="shared" si="86"/>
        <v>1.6739964474346873E-3</v>
      </c>
      <c r="Z79">
        <f t="shared" si="87"/>
        <v>1.2730770809873925E-2</v>
      </c>
      <c r="AA79">
        <f t="shared" si="88"/>
        <v>4.8760580871677096E-3</v>
      </c>
      <c r="AB79">
        <f t="shared" si="89"/>
        <v>1.4056314589889003E-3</v>
      </c>
      <c r="AC79">
        <f t="shared" si="90"/>
        <v>6.5546186619301694E-3</v>
      </c>
      <c r="AE79" s="2">
        <f t="shared" si="98"/>
        <v>39203</v>
      </c>
      <c r="AF79" t="s">
        <v>8</v>
      </c>
      <c r="AG79">
        <f t="shared" ref="AG79:AM79" si="109">SQRT(AVERAGE(W68:W79))</f>
        <v>0.30302142035438245</v>
      </c>
      <c r="AH79">
        <f t="shared" si="109"/>
        <v>0.31810791890722512</v>
      </c>
      <c r="AI79">
        <f t="shared" si="109"/>
        <v>0.30099345150394036</v>
      </c>
      <c r="AJ79">
        <f t="shared" si="109"/>
        <v>0.38000188823173497</v>
      </c>
      <c r="AK79">
        <f t="shared" si="109"/>
        <v>0.36281928618366549</v>
      </c>
      <c r="AL79">
        <f t="shared" si="109"/>
        <v>0.43103901378175702</v>
      </c>
      <c r="AM79">
        <f t="shared" si="109"/>
        <v>0.31264175239838321</v>
      </c>
    </row>
    <row r="80" spans="1:39" x14ac:dyDescent="0.3">
      <c r="A80" s="2">
        <f t="shared" si="95"/>
        <v>39234</v>
      </c>
      <c r="B80">
        <v>0.23140721794590041</v>
      </c>
      <c r="C80">
        <v>0.3566315486462327</v>
      </c>
      <c r="D80">
        <v>0.39002914311370179</v>
      </c>
      <c r="E80">
        <v>0.35059604636643732</v>
      </c>
      <c r="F80">
        <v>0.41244766569237262</v>
      </c>
      <c r="G80">
        <v>0.34274161069285231</v>
      </c>
      <c r="H80">
        <v>0.31891514309925412</v>
      </c>
      <c r="I80">
        <v>0.31169789137126303</v>
      </c>
      <c r="K80" s="2">
        <f t="shared" si="96"/>
        <v>39234</v>
      </c>
      <c r="L80" t="s">
        <v>8</v>
      </c>
      <c r="M80">
        <f t="shared" si="92"/>
        <v>0.12522433070033229</v>
      </c>
      <c r="N80">
        <f t="shared" si="79"/>
        <v>0.15862192516780138</v>
      </c>
      <c r="O80">
        <f t="shared" si="80"/>
        <v>0.11918882842053691</v>
      </c>
      <c r="P80">
        <f t="shared" si="81"/>
        <v>0.18104044774647221</v>
      </c>
      <c r="Q80">
        <f t="shared" si="82"/>
        <v>0.11133439274695189</v>
      </c>
      <c r="R80">
        <f t="shared" si="83"/>
        <v>8.7507925153353705E-2</v>
      </c>
      <c r="S80">
        <f t="shared" si="84"/>
        <v>8.0290673425362613E-2</v>
      </c>
      <c r="U80" s="2">
        <f t="shared" si="97"/>
        <v>39234</v>
      </c>
      <c r="V80" t="s">
        <v>8</v>
      </c>
      <c r="W80">
        <f t="shared" si="93"/>
        <v>1.5681132999346183E-2</v>
      </c>
      <c r="X80">
        <f t="shared" si="85"/>
        <v>2.5160915143939581E-2</v>
      </c>
      <c r="Y80">
        <f t="shared" si="86"/>
        <v>1.4205976820260187E-2</v>
      </c>
      <c r="Z80">
        <f t="shared" si="87"/>
        <v>3.2775643720243136E-2</v>
      </c>
      <c r="AA80">
        <f t="shared" si="88"/>
        <v>1.2395347008332534E-2</v>
      </c>
      <c r="AB80">
        <f t="shared" si="89"/>
        <v>7.657636964644954E-3</v>
      </c>
      <c r="AC80">
        <f t="shared" si="90"/>
        <v>6.4465922390982301E-3</v>
      </c>
      <c r="AE80" s="2">
        <f t="shared" si="98"/>
        <v>39234</v>
      </c>
      <c r="AF80" t="s">
        <v>8</v>
      </c>
      <c r="AG80">
        <f t="shared" ref="AG80:AM80" si="110">SQRT(AVERAGE(W69:W80))</f>
        <v>0.3044387458922862</v>
      </c>
      <c r="AH80">
        <f t="shared" si="110"/>
        <v>0.31954801127582388</v>
      </c>
      <c r="AI80">
        <f t="shared" si="110"/>
        <v>0.30232499579179745</v>
      </c>
      <c r="AJ80">
        <f t="shared" si="110"/>
        <v>0.38330249843786568</v>
      </c>
      <c r="AK80">
        <f t="shared" si="110"/>
        <v>0.36315655975927907</v>
      </c>
      <c r="AL80">
        <f t="shared" si="110"/>
        <v>0.42916434892588107</v>
      </c>
      <c r="AM80">
        <f t="shared" si="110"/>
        <v>0.31312954622474343</v>
      </c>
    </row>
    <row r="81" spans="1:39" x14ac:dyDescent="0.3">
      <c r="A81" s="2">
        <f t="shared" si="95"/>
        <v>39264</v>
      </c>
      <c r="B81">
        <v>0.17790124666809959</v>
      </c>
      <c r="C81">
        <v>0.32083714326399321</v>
      </c>
      <c r="D81">
        <v>0.32967895605949471</v>
      </c>
      <c r="E81">
        <v>0.31693232174975627</v>
      </c>
      <c r="F81">
        <v>0.23140721794590041</v>
      </c>
      <c r="G81">
        <v>0.34254628719680502</v>
      </c>
      <c r="H81">
        <v>0.40087372164102841</v>
      </c>
      <c r="I81">
        <v>0.26077690198206138</v>
      </c>
      <c r="K81" s="2">
        <f t="shared" si="96"/>
        <v>39264</v>
      </c>
      <c r="L81" t="s">
        <v>8</v>
      </c>
      <c r="M81">
        <f t="shared" si="92"/>
        <v>0.14293589659589362</v>
      </c>
      <c r="N81">
        <f t="shared" si="79"/>
        <v>0.15177770939139512</v>
      </c>
      <c r="O81">
        <f t="shared" si="80"/>
        <v>0.13903107508165669</v>
      </c>
      <c r="P81">
        <f t="shared" si="81"/>
        <v>5.3505971277800823E-2</v>
      </c>
      <c r="Q81">
        <f t="shared" si="82"/>
        <v>0.16464504052870543</v>
      </c>
      <c r="R81">
        <f t="shared" si="83"/>
        <v>0.22297247497292882</v>
      </c>
      <c r="S81">
        <f t="shared" si="84"/>
        <v>8.2875655313961794E-2</v>
      </c>
      <c r="U81" s="2">
        <f t="shared" si="97"/>
        <v>39264</v>
      </c>
      <c r="V81" t="s">
        <v>8</v>
      </c>
      <c r="W81">
        <f t="shared" si="93"/>
        <v>2.0430670535671994E-2</v>
      </c>
      <c r="X81">
        <f t="shared" si="85"/>
        <v>2.3036473068098792E-2</v>
      </c>
      <c r="Y81">
        <f t="shared" si="86"/>
        <v>1.9329639838361258E-2</v>
      </c>
      <c r="Z81">
        <f t="shared" si="87"/>
        <v>2.8628889623808465E-3</v>
      </c>
      <c r="AA81">
        <f t="shared" si="88"/>
        <v>2.7107989370699054E-2</v>
      </c>
      <c r="AB81">
        <f t="shared" si="89"/>
        <v>4.9716724595553374E-2</v>
      </c>
      <c r="AC81">
        <f t="shared" si="90"/>
        <v>6.8683742437186035E-3</v>
      </c>
      <c r="AE81" s="2">
        <f t="shared" si="98"/>
        <v>39264</v>
      </c>
      <c r="AF81" t="s">
        <v>8</v>
      </c>
      <c r="AG81">
        <f t="shared" ref="AG81:AM81" si="111">SQRT(AVERAGE(W70:W81))</f>
        <v>0.30088463358617246</v>
      </c>
      <c r="AH81">
        <f t="shared" si="111"/>
        <v>0.31511096797994892</v>
      </c>
      <c r="AI81">
        <f t="shared" si="111"/>
        <v>0.29853609167833633</v>
      </c>
      <c r="AJ81">
        <f t="shared" si="111"/>
        <v>0.37400655189330029</v>
      </c>
      <c r="AK81">
        <f t="shared" si="111"/>
        <v>0.36174492589753277</v>
      </c>
      <c r="AL81">
        <f t="shared" si="111"/>
        <v>0.42738018684567824</v>
      </c>
      <c r="AM81">
        <f t="shared" si="111"/>
        <v>0.30681225734074935</v>
      </c>
    </row>
    <row r="82" spans="1:39" x14ac:dyDescent="0.3">
      <c r="A82" s="2">
        <f t="shared" si="95"/>
        <v>39295</v>
      </c>
      <c r="B82">
        <v>3.0823320011830191E-2</v>
      </c>
      <c r="C82">
        <v>0.3347028113430115</v>
      </c>
      <c r="D82">
        <v>0.30823602125363719</v>
      </c>
      <c r="E82">
        <v>0.33203055747747551</v>
      </c>
      <c r="F82">
        <v>0.17790124666809959</v>
      </c>
      <c r="G82">
        <v>0.34225794211706989</v>
      </c>
      <c r="H82">
        <v>0.33161844511031852</v>
      </c>
      <c r="I82">
        <v>0.27473598201953231</v>
      </c>
      <c r="K82" s="2">
        <f t="shared" si="96"/>
        <v>39295</v>
      </c>
      <c r="L82" t="s">
        <v>8</v>
      </c>
      <c r="M82">
        <f t="shared" si="92"/>
        <v>0.30387949133118131</v>
      </c>
      <c r="N82">
        <f t="shared" si="79"/>
        <v>0.277412701241807</v>
      </c>
      <c r="O82">
        <f t="shared" si="80"/>
        <v>0.30120723746564532</v>
      </c>
      <c r="P82">
        <f t="shared" si="81"/>
        <v>0.1470779266562694</v>
      </c>
      <c r="Q82">
        <f t="shared" si="82"/>
        <v>0.3114346221052397</v>
      </c>
      <c r="R82">
        <f t="shared" si="83"/>
        <v>0.30079512509848833</v>
      </c>
      <c r="S82">
        <f t="shared" si="84"/>
        <v>0.24391266200770212</v>
      </c>
      <c r="U82" s="2">
        <f t="shared" si="97"/>
        <v>39295</v>
      </c>
      <c r="V82" t="s">
        <v>8</v>
      </c>
      <c r="W82">
        <f t="shared" si="93"/>
        <v>9.23427452516975E-2</v>
      </c>
      <c r="X82">
        <f t="shared" si="85"/>
        <v>7.6957806810276072E-2</v>
      </c>
      <c r="Y82">
        <f t="shared" si="86"/>
        <v>9.0725799901685653E-2</v>
      </c>
      <c r="Z82">
        <f t="shared" si="87"/>
        <v>2.1631916509506962E-2</v>
      </c>
      <c r="AA82">
        <f t="shared" si="88"/>
        <v>9.6991523845833455E-2</v>
      </c>
      <c r="AB82">
        <f t="shared" si="89"/>
        <v>9.0477707283015241E-2</v>
      </c>
      <c r="AC82">
        <f t="shared" si="90"/>
        <v>5.949338668768353E-2</v>
      </c>
      <c r="AE82" s="2">
        <f t="shared" si="98"/>
        <v>39295</v>
      </c>
      <c r="AF82" t="s">
        <v>8</v>
      </c>
      <c r="AG82">
        <f t="shared" ref="AG82:AM82" si="112">SQRT(AVERAGE(W71:W82))</f>
        <v>0.31327107895039197</v>
      </c>
      <c r="AH82">
        <f t="shared" si="112"/>
        <v>0.32500370783089033</v>
      </c>
      <c r="AI82">
        <f t="shared" si="112"/>
        <v>0.31078601718956855</v>
      </c>
      <c r="AJ82">
        <f t="shared" si="112"/>
        <v>0.3752772723842242</v>
      </c>
      <c r="AK82">
        <f t="shared" si="112"/>
        <v>0.37169425403822443</v>
      </c>
      <c r="AL82">
        <f t="shared" si="112"/>
        <v>0.4339013824311212</v>
      </c>
      <c r="AM82">
        <f t="shared" si="112"/>
        <v>0.3132682267044527</v>
      </c>
    </row>
    <row r="83" spans="1:39" x14ac:dyDescent="0.3">
      <c r="A83" s="2">
        <f t="shared" si="95"/>
        <v>39326</v>
      </c>
      <c r="B83">
        <v>0.42286002454385851</v>
      </c>
      <c r="C83">
        <v>0.22341924516039721</v>
      </c>
      <c r="D83">
        <v>0.19955885938939399</v>
      </c>
      <c r="E83">
        <v>0.2167219522917494</v>
      </c>
      <c r="F83">
        <v>3.0823320011830191E-2</v>
      </c>
      <c r="G83">
        <v>0.34171347599450841</v>
      </c>
      <c r="H83">
        <v>0.26714340969802092</v>
      </c>
      <c r="I83">
        <v>0.17151794985954039</v>
      </c>
      <c r="K83" s="2">
        <f t="shared" si="96"/>
        <v>39326</v>
      </c>
      <c r="L83" t="s">
        <v>8</v>
      </c>
      <c r="M83">
        <f t="shared" si="92"/>
        <v>0.1994407793834613</v>
      </c>
      <c r="N83">
        <f t="shared" si="79"/>
        <v>0.22330116515446452</v>
      </c>
      <c r="O83">
        <f t="shared" si="80"/>
        <v>0.20613807225210912</v>
      </c>
      <c r="P83">
        <f t="shared" si="81"/>
        <v>0.39203670453202832</v>
      </c>
      <c r="Q83">
        <f t="shared" si="82"/>
        <v>8.1146548549350106E-2</v>
      </c>
      <c r="R83">
        <f t="shared" si="83"/>
        <v>0.1557166148458376</v>
      </c>
      <c r="S83">
        <f t="shared" si="84"/>
        <v>0.25134207468431813</v>
      </c>
      <c r="U83" s="2">
        <f t="shared" si="97"/>
        <v>39326</v>
      </c>
      <c r="V83" t="s">
        <v>8</v>
      </c>
      <c r="W83">
        <f t="shared" si="93"/>
        <v>3.9776624481082483E-2</v>
      </c>
      <c r="X83">
        <f t="shared" si="85"/>
        <v>4.9863410359341442E-2</v>
      </c>
      <c r="Y83">
        <f t="shared" si="86"/>
        <v>4.249290483181576E-2</v>
      </c>
      <c r="Z83">
        <f t="shared" si="87"/>
        <v>0.15369277770033288</v>
      </c>
      <c r="AA83">
        <f t="shared" si="88"/>
        <v>6.5847623414720339E-3</v>
      </c>
      <c r="AB83">
        <f t="shared" si="89"/>
        <v>2.4247664139046929E-2</v>
      </c>
      <c r="AC83">
        <f t="shared" si="90"/>
        <v>6.3172838506617354E-2</v>
      </c>
      <c r="AE83" s="2">
        <f t="shared" si="98"/>
        <v>39326</v>
      </c>
      <c r="AF83" t="s">
        <v>8</v>
      </c>
      <c r="AG83">
        <f t="shared" ref="AG83:AM83" si="113">SQRT(AVERAGE(W72:W83))</f>
        <v>0.20989582805486057</v>
      </c>
      <c r="AH83">
        <f t="shared" si="113"/>
        <v>0.22619500987371</v>
      </c>
      <c r="AI83">
        <f t="shared" si="113"/>
        <v>0.20807614032803318</v>
      </c>
      <c r="AJ83">
        <f t="shared" si="113"/>
        <v>0.28437807389302461</v>
      </c>
      <c r="AK83">
        <f t="shared" si="113"/>
        <v>0.28327699883548352</v>
      </c>
      <c r="AL83">
        <f t="shared" si="113"/>
        <v>0.34144394793523292</v>
      </c>
      <c r="AM83">
        <f t="shared" si="113"/>
        <v>0.22227637128878491</v>
      </c>
    </row>
    <row r="84" spans="1:39" x14ac:dyDescent="0.3">
      <c r="A84" s="2">
        <f t="shared" si="95"/>
        <v>39356</v>
      </c>
      <c r="B84">
        <v>0.30784944010990861</v>
      </c>
      <c r="C84">
        <v>0.44263423234099691</v>
      </c>
      <c r="D84">
        <v>0.31661724379810219</v>
      </c>
      <c r="E84">
        <v>0.44109178178692049</v>
      </c>
      <c r="F84">
        <v>0.42286002454385851</v>
      </c>
      <c r="G84">
        <v>0.34185509300768352</v>
      </c>
      <c r="H84">
        <v>0.20276345528739989</v>
      </c>
      <c r="I84">
        <v>0.31405445475575999</v>
      </c>
      <c r="K84" s="2">
        <f t="shared" si="96"/>
        <v>39356</v>
      </c>
      <c r="L84" t="s">
        <v>8</v>
      </c>
      <c r="M84">
        <f t="shared" si="92"/>
        <v>0.1347847922310883</v>
      </c>
      <c r="N84">
        <f t="shared" si="79"/>
        <v>8.7678036881935761E-3</v>
      </c>
      <c r="O84">
        <f t="shared" si="80"/>
        <v>0.13324234167701188</v>
      </c>
      <c r="P84">
        <f t="shared" si="81"/>
        <v>0.1150105844339499</v>
      </c>
      <c r="Q84">
        <f t="shared" si="82"/>
        <v>3.4005652897774907E-2</v>
      </c>
      <c r="R84">
        <f t="shared" si="83"/>
        <v>0.10508598482250872</v>
      </c>
      <c r="S84">
        <f t="shared" si="84"/>
        <v>6.2050146458513811E-3</v>
      </c>
      <c r="U84" s="2">
        <f t="shared" si="97"/>
        <v>39356</v>
      </c>
      <c r="V84" t="s">
        <v>8</v>
      </c>
      <c r="W84">
        <f t="shared" si="93"/>
        <v>1.816694021677764E-2</v>
      </c>
      <c r="X84">
        <f t="shared" si="85"/>
        <v>7.6874381514700877E-5</v>
      </c>
      <c r="Y84">
        <f t="shared" si="86"/>
        <v>1.7753521615573576E-2</v>
      </c>
      <c r="Z84">
        <f t="shared" si="87"/>
        <v>1.322743453183872E-2</v>
      </c>
      <c r="AA84">
        <f t="shared" si="88"/>
        <v>1.1563844290039471E-3</v>
      </c>
      <c r="AB84">
        <f t="shared" si="89"/>
        <v>1.1043064206116534E-2</v>
      </c>
      <c r="AC84">
        <f t="shared" si="90"/>
        <v>3.8502206755230143E-5</v>
      </c>
      <c r="AE84" s="2">
        <f t="shared" si="98"/>
        <v>39356</v>
      </c>
      <c r="AF84" t="s">
        <v>8</v>
      </c>
      <c r="AG84">
        <f t="shared" ref="AG84:AM84" si="114">SQRT(AVERAGE(W73:W84))</f>
        <v>0.16985114271844112</v>
      </c>
      <c r="AH84">
        <f t="shared" si="114"/>
        <v>0.16733196873518055</v>
      </c>
      <c r="AI84">
        <f t="shared" si="114"/>
        <v>0.16962904892781952</v>
      </c>
      <c r="AJ84">
        <f t="shared" si="114"/>
        <v>0.28598641054204116</v>
      </c>
      <c r="AK84">
        <f t="shared" si="114"/>
        <v>0.16873233509828017</v>
      </c>
      <c r="AL84">
        <f t="shared" si="114"/>
        <v>0.24260331691470025</v>
      </c>
      <c r="AM84">
        <f t="shared" si="114"/>
        <v>0.16215777619302252</v>
      </c>
    </row>
    <row r="85" spans="1:39" x14ac:dyDescent="0.3">
      <c r="A85" s="2">
        <f t="shared" si="95"/>
        <v>39387</v>
      </c>
      <c r="B85">
        <v>0.78281640828734567</v>
      </c>
      <c r="C85">
        <v>0.30813964289854467</v>
      </c>
      <c r="D85">
        <v>0.28283564384348031</v>
      </c>
      <c r="E85">
        <v>0.29351100873067643</v>
      </c>
      <c r="F85">
        <v>0.30784944010990861</v>
      </c>
      <c r="G85">
        <v>0.34179584970995219</v>
      </c>
      <c r="H85">
        <v>0.32826768418022589</v>
      </c>
      <c r="I85">
        <v>0.26897513968634229</v>
      </c>
      <c r="K85" s="2">
        <f t="shared" si="96"/>
        <v>39387</v>
      </c>
      <c r="L85" t="s">
        <v>8</v>
      </c>
      <c r="M85">
        <f t="shared" si="92"/>
        <v>0.47467676538880099</v>
      </c>
      <c r="N85">
        <f t="shared" si="79"/>
        <v>0.49998076444386536</v>
      </c>
      <c r="O85">
        <f t="shared" si="80"/>
        <v>0.48930539955666924</v>
      </c>
      <c r="P85">
        <f t="shared" si="81"/>
        <v>0.47496696817743705</v>
      </c>
      <c r="Q85">
        <f t="shared" si="82"/>
        <v>0.44102055857739347</v>
      </c>
      <c r="R85">
        <f t="shared" si="83"/>
        <v>0.45454872410711977</v>
      </c>
      <c r="S85">
        <f t="shared" si="84"/>
        <v>0.51384126860100343</v>
      </c>
      <c r="U85" s="2">
        <f t="shared" si="97"/>
        <v>39387</v>
      </c>
      <c r="V85" t="s">
        <v>8</v>
      </c>
      <c r="W85">
        <f t="shared" si="93"/>
        <v>0.22531803159997482</v>
      </c>
      <c r="X85">
        <f t="shared" si="85"/>
        <v>0.24998076481387196</v>
      </c>
      <c r="Y85">
        <f t="shared" si="86"/>
        <v>0.23941977403531173</v>
      </c>
      <c r="Z85">
        <f t="shared" si="87"/>
        <v>0.2255936208596665</v>
      </c>
      <c r="AA85">
        <f t="shared" si="88"/>
        <v>0.19449913308791614</v>
      </c>
      <c r="AB85">
        <f t="shared" si="89"/>
        <v>0.20661454258741049</v>
      </c>
      <c r="AC85">
        <f t="shared" si="90"/>
        <v>0.26403284931748855</v>
      </c>
      <c r="AE85" s="2">
        <f t="shared" si="98"/>
        <v>39387</v>
      </c>
      <c r="AF85" t="s">
        <v>8</v>
      </c>
      <c r="AG85">
        <f t="shared" ref="AG85:AM85" si="115">SQRT(AVERAGE(W74:W85))</f>
        <v>0.21765333681409521</v>
      </c>
      <c r="AH85">
        <f t="shared" si="115"/>
        <v>0.21681929863875668</v>
      </c>
      <c r="AI85">
        <f t="shared" si="115"/>
        <v>0.2200406078747166</v>
      </c>
      <c r="AJ85">
        <f t="shared" si="115"/>
        <v>0.28324428708167115</v>
      </c>
      <c r="AK85">
        <f t="shared" si="115"/>
        <v>0.19367967537042904</v>
      </c>
      <c r="AL85">
        <f t="shared" si="115"/>
        <v>0.27525829913241995</v>
      </c>
      <c r="AM85">
        <f t="shared" si="115"/>
        <v>0.21932955535953552</v>
      </c>
    </row>
    <row r="86" spans="1:39" x14ac:dyDescent="0.3">
      <c r="A86" s="2">
        <f t="shared" si="95"/>
        <v>39417</v>
      </c>
      <c r="B86">
        <v>0.28938234029487481</v>
      </c>
      <c r="C86">
        <v>0.46169957477240109</v>
      </c>
      <c r="D86">
        <v>0.40570919511561609</v>
      </c>
      <c r="E86">
        <v>0.46816112365257229</v>
      </c>
      <c r="F86">
        <v>0.78281640828734567</v>
      </c>
      <c r="G86">
        <v>0.34256284198573889</v>
      </c>
      <c r="H86">
        <v>0.28838231502882561</v>
      </c>
      <c r="I86">
        <v>0.46243839088513722</v>
      </c>
      <c r="K86" s="2">
        <f t="shared" si="96"/>
        <v>39417</v>
      </c>
      <c r="L86" t="s">
        <v>8</v>
      </c>
      <c r="M86">
        <f t="shared" si="92"/>
        <v>0.17231723447752628</v>
      </c>
      <c r="N86">
        <f t="shared" si="79"/>
        <v>0.11632685482074129</v>
      </c>
      <c r="O86">
        <f t="shared" si="80"/>
        <v>0.17877878335769748</v>
      </c>
      <c r="P86">
        <f t="shared" si="81"/>
        <v>0.49343406799247086</v>
      </c>
      <c r="Q86">
        <f t="shared" si="82"/>
        <v>5.3180501690864079E-2</v>
      </c>
      <c r="R86">
        <f t="shared" si="83"/>
        <v>1.0000252660491982E-3</v>
      </c>
      <c r="S86">
        <f t="shared" si="84"/>
        <v>0.17305605059026241</v>
      </c>
      <c r="U86" s="2">
        <f t="shared" si="97"/>
        <v>39417</v>
      </c>
      <c r="V86" t="s">
        <v>8</v>
      </c>
      <c r="W86">
        <f t="shared" si="93"/>
        <v>2.9693229297982772E-2</v>
      </c>
      <c r="X86">
        <f t="shared" si="85"/>
        <v>1.353193715248582E-2</v>
      </c>
      <c r="Y86">
        <f t="shared" si="86"/>
        <v>3.1961853378858526E-2</v>
      </c>
      <c r="Z86">
        <f t="shared" si="87"/>
        <v>0.24347717945559835</v>
      </c>
      <c r="AA86">
        <f t="shared" si="88"/>
        <v>2.8281657600919973E-3</v>
      </c>
      <c r="AB86">
        <f t="shared" si="89"/>
        <v>1.0000505327367697E-6</v>
      </c>
      <c r="AC86">
        <f t="shared" si="90"/>
        <v>2.9948396645899465E-2</v>
      </c>
      <c r="AE86" s="2">
        <f t="shared" si="98"/>
        <v>39417</v>
      </c>
      <c r="AF86" t="s">
        <v>8</v>
      </c>
      <c r="AG86">
        <f t="shared" ref="AG86:AM86" si="116">SQRT(AVERAGE(W75:W86))</f>
        <v>0.20860366741550065</v>
      </c>
      <c r="AH86">
        <f t="shared" si="116"/>
        <v>0.20515309183521777</v>
      </c>
      <c r="AI86">
        <f t="shared" si="116"/>
        <v>0.21215888159732721</v>
      </c>
      <c r="AJ86">
        <f t="shared" si="116"/>
        <v>0.28322601522468688</v>
      </c>
      <c r="AK86">
        <f t="shared" si="116"/>
        <v>0.18543711936595758</v>
      </c>
      <c r="AL86">
        <f t="shared" si="116"/>
        <v>0.22103791489418748</v>
      </c>
      <c r="AM86">
        <f t="shared" si="116"/>
        <v>0.2124658329702149</v>
      </c>
    </row>
    <row r="87" spans="1:39" x14ac:dyDescent="0.3">
      <c r="A87" s="2">
        <f t="shared" si="95"/>
        <v>39448</v>
      </c>
      <c r="B87">
        <v>0.34417753671736051</v>
      </c>
      <c r="C87">
        <v>0.24932114159043661</v>
      </c>
      <c r="D87">
        <v>0.26742030612178208</v>
      </c>
      <c r="E87">
        <v>0.2319099326000465</v>
      </c>
      <c r="F87">
        <v>0.28938234029487481</v>
      </c>
      <c r="G87">
        <v>0.34247051472585899</v>
      </c>
      <c r="H87">
        <v>0.49686749367067667</v>
      </c>
      <c r="I87">
        <v>0.25251616593925219</v>
      </c>
      <c r="K87" s="2">
        <f t="shared" si="96"/>
        <v>39448</v>
      </c>
      <c r="L87" t="s">
        <v>8</v>
      </c>
      <c r="M87">
        <f t="shared" si="92"/>
        <v>9.4856395126923898E-2</v>
      </c>
      <c r="N87">
        <f t="shared" si="79"/>
        <v>7.675723059557843E-2</v>
      </c>
      <c r="O87">
        <f t="shared" si="80"/>
        <v>0.11226760411731401</v>
      </c>
      <c r="P87">
        <f t="shared" si="81"/>
        <v>5.4795196422485704E-2</v>
      </c>
      <c r="Q87">
        <f t="shared" si="82"/>
        <v>1.7070219915015228E-3</v>
      </c>
      <c r="R87">
        <f t="shared" si="83"/>
        <v>0.15268995695331616</v>
      </c>
      <c r="S87">
        <f t="shared" si="84"/>
        <v>9.166137077810832E-2</v>
      </c>
      <c r="U87" s="2">
        <f t="shared" si="97"/>
        <v>39448</v>
      </c>
      <c r="V87" t="s">
        <v>8</v>
      </c>
      <c r="W87">
        <f t="shared" si="93"/>
        <v>8.9977356964751117E-3</v>
      </c>
      <c r="X87">
        <f t="shared" si="85"/>
        <v>5.8916724487028012E-3</v>
      </c>
      <c r="Y87">
        <f t="shared" si="86"/>
        <v>1.2604014934241943E-2</v>
      </c>
      <c r="Z87">
        <f t="shared" si="87"/>
        <v>3.00251355097879E-3</v>
      </c>
      <c r="AA87">
        <f t="shared" si="88"/>
        <v>2.913924079469825E-6</v>
      </c>
      <c r="AB87">
        <f t="shared" si="89"/>
        <v>2.3314222954405543E-2</v>
      </c>
      <c r="AC87">
        <f t="shared" si="90"/>
        <v>8.4018068929218506E-3</v>
      </c>
      <c r="AE87" s="2">
        <f t="shared" si="98"/>
        <v>39448</v>
      </c>
      <c r="AF87" t="s">
        <v>8</v>
      </c>
      <c r="AG87">
        <f t="shared" ref="AG87:AM87" si="117">SQRT(AVERAGE(W76:W87))</f>
        <v>0.20491703742863343</v>
      </c>
      <c r="AH87">
        <f t="shared" si="117"/>
        <v>0.20340145566468962</v>
      </c>
      <c r="AI87">
        <f t="shared" si="117"/>
        <v>0.2095271680979014</v>
      </c>
      <c r="AJ87">
        <f t="shared" si="117"/>
        <v>0.26192573838507849</v>
      </c>
      <c r="AK87">
        <f t="shared" si="117"/>
        <v>0.17827371336069306</v>
      </c>
      <c r="AL87">
        <f t="shared" si="117"/>
        <v>0.22477179644240003</v>
      </c>
      <c r="AM87">
        <f t="shared" si="117"/>
        <v>0.2072698197681932</v>
      </c>
    </row>
    <row r="88" spans="1:39" x14ac:dyDescent="0.3">
      <c r="A88" s="2">
        <f t="shared" si="95"/>
        <v>39479</v>
      </c>
      <c r="B88">
        <v>0.24149086374540829</v>
      </c>
      <c r="C88">
        <v>0.34117127415386528</v>
      </c>
      <c r="D88">
        <v>0.33658994313368967</v>
      </c>
      <c r="E88">
        <v>0.34596385280152481</v>
      </c>
      <c r="F88">
        <v>0.34417753671736051</v>
      </c>
      <c r="G88">
        <v>0.34247347316951843</v>
      </c>
      <c r="H88">
        <v>0.37165969052829712</v>
      </c>
      <c r="I88">
        <v>0.36014048102579588</v>
      </c>
      <c r="K88" s="2">
        <f t="shared" si="96"/>
        <v>39479</v>
      </c>
      <c r="L88" t="s">
        <v>8</v>
      </c>
      <c r="M88">
        <f t="shared" si="92"/>
        <v>9.9680410408456988E-2</v>
      </c>
      <c r="N88">
        <f t="shared" si="79"/>
        <v>9.5099079388281382E-2</v>
      </c>
      <c r="O88">
        <f t="shared" si="80"/>
        <v>0.10447298905611652</v>
      </c>
      <c r="P88">
        <f t="shared" si="81"/>
        <v>0.10268667297195222</v>
      </c>
      <c r="Q88">
        <f t="shared" si="82"/>
        <v>0.10098260942411014</v>
      </c>
      <c r="R88">
        <f t="shared" si="83"/>
        <v>0.13016882678288882</v>
      </c>
      <c r="S88">
        <f t="shared" si="84"/>
        <v>0.11864961728038759</v>
      </c>
      <c r="U88" s="2">
        <f t="shared" si="97"/>
        <v>39479</v>
      </c>
      <c r="V88" t="s">
        <v>8</v>
      </c>
      <c r="W88">
        <f t="shared" si="93"/>
        <v>9.9361842191984205E-3</v>
      </c>
      <c r="X88">
        <f t="shared" si="85"/>
        <v>9.043834900498645E-3</v>
      </c>
      <c r="Y88">
        <f t="shared" si="86"/>
        <v>1.0914605442319441E-2</v>
      </c>
      <c r="Z88">
        <f t="shared" si="87"/>
        <v>1.0544552806048662E-2</v>
      </c>
      <c r="AA88">
        <f t="shared" si="88"/>
        <v>1.0197487406102377E-2</v>
      </c>
      <c r="AB88">
        <f t="shared" si="89"/>
        <v>1.6943923466033715E-2</v>
      </c>
      <c r="AC88">
        <f t="shared" si="90"/>
        <v>1.4077731680782449E-2</v>
      </c>
      <c r="AE88" s="2">
        <f t="shared" si="98"/>
        <v>39479</v>
      </c>
      <c r="AF88" t="s">
        <v>8</v>
      </c>
      <c r="AG88">
        <f t="shared" ref="AG88:AM88" si="118">SQRT(AVERAGE(W77:W88))</f>
        <v>0.19900536623647877</v>
      </c>
      <c r="AH88">
        <f t="shared" si="118"/>
        <v>0.19908466153300877</v>
      </c>
      <c r="AI88">
        <f t="shared" si="118"/>
        <v>0.20267700918335016</v>
      </c>
      <c r="AJ88">
        <f t="shared" si="118"/>
        <v>0.25573985664389198</v>
      </c>
      <c r="AK88">
        <f t="shared" si="118"/>
        <v>0.18017825050633024</v>
      </c>
      <c r="AL88">
        <f t="shared" si="118"/>
        <v>0.22131483639110702</v>
      </c>
      <c r="AM88">
        <f t="shared" si="118"/>
        <v>0.2012686486840316</v>
      </c>
    </row>
    <row r="89" spans="1:39" x14ac:dyDescent="0.3">
      <c r="A89" s="2">
        <f t="shared" si="95"/>
        <v>39508</v>
      </c>
      <c r="B89">
        <v>0.35716418927451699</v>
      </c>
      <c r="C89">
        <v>0.27127519847091902</v>
      </c>
      <c r="D89">
        <v>0.45928079641542768</v>
      </c>
      <c r="E89">
        <v>0.26014277746600328</v>
      </c>
      <c r="F89">
        <v>0.24149086374540829</v>
      </c>
      <c r="G89">
        <v>0.34229876277259091</v>
      </c>
      <c r="H89">
        <v>0.38259232713188762</v>
      </c>
      <c r="I89">
        <v>0.32649439785833068</v>
      </c>
      <c r="K89" s="2">
        <f t="shared" si="96"/>
        <v>39508</v>
      </c>
      <c r="L89" t="s">
        <v>8</v>
      </c>
      <c r="M89">
        <f t="shared" si="92"/>
        <v>8.5888990803597964E-2</v>
      </c>
      <c r="N89">
        <f t="shared" si="79"/>
        <v>0.1021166071409107</v>
      </c>
      <c r="O89">
        <f t="shared" si="80"/>
        <v>9.7021411808513702E-2</v>
      </c>
      <c r="P89">
        <f t="shared" si="81"/>
        <v>0.11567332552910869</v>
      </c>
      <c r="Q89">
        <f t="shared" si="82"/>
        <v>1.4865426501926071E-2</v>
      </c>
      <c r="R89">
        <f t="shared" si="83"/>
        <v>2.5428137857370636E-2</v>
      </c>
      <c r="S89">
        <f t="shared" si="84"/>
        <v>3.0669791416186309E-2</v>
      </c>
      <c r="U89" s="2">
        <f t="shared" si="97"/>
        <v>39508</v>
      </c>
      <c r="V89" t="s">
        <v>8</v>
      </c>
      <c r="W89">
        <f t="shared" si="93"/>
        <v>7.3769187412605353E-3</v>
      </c>
      <c r="X89">
        <f t="shared" si="85"/>
        <v>1.0427801453971094E-2</v>
      </c>
      <c r="Y89">
        <f t="shared" si="86"/>
        <v>9.4131543493172019E-3</v>
      </c>
      <c r="Z89">
        <f t="shared" si="87"/>
        <v>1.338031823896315E-2</v>
      </c>
      <c r="AA89">
        <f t="shared" si="88"/>
        <v>2.20980905084166E-4</v>
      </c>
      <c r="AB89">
        <f t="shared" si="89"/>
        <v>6.4659019489344573E-4</v>
      </c>
      <c r="AC89">
        <f t="shared" si="90"/>
        <v>9.4063610551237543E-4</v>
      </c>
      <c r="AE89" s="2">
        <f t="shared" si="98"/>
        <v>39508</v>
      </c>
      <c r="AF89" t="s">
        <v>8</v>
      </c>
      <c r="AG89">
        <f t="shared" ref="AG89:AM89" si="119">SQRT(AVERAGE(W78:W89))</f>
        <v>0.19900644017171945</v>
      </c>
      <c r="AH89">
        <f t="shared" si="119"/>
        <v>0.1987147880739836</v>
      </c>
      <c r="AI89">
        <f t="shared" si="119"/>
        <v>0.20321674737127593</v>
      </c>
      <c r="AJ89">
        <f t="shared" si="119"/>
        <v>0.25509827457945528</v>
      </c>
      <c r="AK89">
        <f t="shared" si="119"/>
        <v>0.17289602883539013</v>
      </c>
      <c r="AL89">
        <f t="shared" si="119"/>
        <v>0.18988434398938966</v>
      </c>
      <c r="AM89">
        <f t="shared" si="119"/>
        <v>0.19619069743048256</v>
      </c>
    </row>
    <row r="90" spans="1:39" x14ac:dyDescent="0.3">
      <c r="A90" s="2">
        <f t="shared" si="95"/>
        <v>39539</v>
      </c>
      <c r="B90">
        <v>0.23117069655080871</v>
      </c>
      <c r="C90">
        <v>0.31706140060039051</v>
      </c>
      <c r="D90">
        <v>0.61608656499380388</v>
      </c>
      <c r="E90">
        <v>0.31638110651410462</v>
      </c>
      <c r="F90">
        <v>0.35716418927451699</v>
      </c>
      <c r="G90">
        <v>0.34232443708433857</v>
      </c>
      <c r="H90">
        <v>0.37353051642026941</v>
      </c>
      <c r="I90">
        <v>0.30088252037428159</v>
      </c>
      <c r="K90" s="2">
        <f t="shared" si="96"/>
        <v>39539</v>
      </c>
      <c r="L90" t="s">
        <v>8</v>
      </c>
      <c r="M90">
        <f t="shared" si="92"/>
        <v>8.5890704049581795E-2</v>
      </c>
      <c r="N90">
        <f t="shared" si="79"/>
        <v>0.38491586844299519</v>
      </c>
      <c r="O90">
        <f t="shared" si="80"/>
        <v>8.5210409963295902E-2</v>
      </c>
      <c r="P90">
        <f t="shared" si="81"/>
        <v>0.12599349272370827</v>
      </c>
      <c r="Q90">
        <f t="shared" si="82"/>
        <v>0.11115374053352986</v>
      </c>
      <c r="R90">
        <f t="shared" si="83"/>
        <v>0.1423598198694607</v>
      </c>
      <c r="S90">
        <f t="shared" si="84"/>
        <v>6.9711823823472879E-2</v>
      </c>
      <c r="U90" s="2">
        <f t="shared" si="97"/>
        <v>39539</v>
      </c>
      <c r="V90" t="s">
        <v>8</v>
      </c>
      <c r="W90">
        <f t="shared" si="93"/>
        <v>7.3772130421328463E-3</v>
      </c>
      <c r="X90">
        <f t="shared" si="85"/>
        <v>0.14816022577922519</v>
      </c>
      <c r="Y90">
        <f t="shared" si="86"/>
        <v>7.2608139661129575E-3</v>
      </c>
      <c r="Z90">
        <f t="shared" si="87"/>
        <v>1.5874360208719129E-2</v>
      </c>
      <c r="AA90">
        <f t="shared" si="88"/>
        <v>1.2355154034595278E-2</v>
      </c>
      <c r="AB90">
        <f t="shared" si="89"/>
        <v>2.0266318313265298E-2</v>
      </c>
      <c r="AC90">
        <f t="shared" si="90"/>
        <v>4.8597383807949205E-3</v>
      </c>
      <c r="AE90" s="2">
        <f t="shared" si="98"/>
        <v>39539</v>
      </c>
      <c r="AF90" t="s">
        <v>8</v>
      </c>
      <c r="AG90">
        <f t="shared" ref="AG90:AM90" si="120">SQRT(AVERAGE(W79:W90))</f>
        <v>0.1991809690373777</v>
      </c>
      <c r="AH90">
        <f t="shared" si="120"/>
        <v>0.22693982395828147</v>
      </c>
      <c r="AI90">
        <f t="shared" si="120"/>
        <v>0.20366558692320708</v>
      </c>
      <c r="AJ90">
        <f t="shared" si="120"/>
        <v>0.24979891535562343</v>
      </c>
      <c r="AK90">
        <f t="shared" si="120"/>
        <v>0.17540807188771229</v>
      </c>
      <c r="AL90">
        <f t="shared" si="120"/>
        <v>0.19415093488784851</v>
      </c>
      <c r="AM90">
        <f t="shared" si="120"/>
        <v>0.19681536854990153</v>
      </c>
    </row>
    <row r="91" spans="1:39" x14ac:dyDescent="0.3">
      <c r="A91" s="2">
        <f t="shared" si="95"/>
        <v>39569</v>
      </c>
      <c r="B91">
        <v>0.59000520681236068</v>
      </c>
      <c r="C91">
        <v>0.26853539305651231</v>
      </c>
      <c r="D91">
        <v>9.8673763019934732E-2</v>
      </c>
      <c r="E91">
        <v>0.26042688590668678</v>
      </c>
      <c r="F91">
        <v>0.23117069655080871</v>
      </c>
      <c r="G91">
        <v>0.3421327927041084</v>
      </c>
      <c r="H91">
        <v>0.34132028946907472</v>
      </c>
      <c r="I91">
        <v>0.30573737783448229</v>
      </c>
      <c r="K91" s="2">
        <f t="shared" si="96"/>
        <v>39569</v>
      </c>
      <c r="L91" t="s">
        <v>8</v>
      </c>
      <c r="M91">
        <f t="shared" si="92"/>
        <v>0.32146981375584838</v>
      </c>
      <c r="N91">
        <f t="shared" si="79"/>
        <v>0.49133144379242594</v>
      </c>
      <c r="O91">
        <f t="shared" si="80"/>
        <v>0.3295783209056739</v>
      </c>
      <c r="P91">
        <f t="shared" si="81"/>
        <v>0.358834510261552</v>
      </c>
      <c r="Q91">
        <f t="shared" si="82"/>
        <v>0.24787241410825228</v>
      </c>
      <c r="R91">
        <f t="shared" si="83"/>
        <v>0.24868491734328596</v>
      </c>
      <c r="S91">
        <f t="shared" si="84"/>
        <v>0.28426782897787839</v>
      </c>
      <c r="U91" s="2">
        <f t="shared" si="97"/>
        <v>39569</v>
      </c>
      <c r="V91" t="s">
        <v>8</v>
      </c>
      <c r="W91">
        <f t="shared" si="93"/>
        <v>0.10334284115621985</v>
      </c>
      <c r="X91">
        <f t="shared" si="85"/>
        <v>0.2414065876591498</v>
      </c>
      <c r="Y91">
        <f t="shared" si="86"/>
        <v>0.10862186961100337</v>
      </c>
      <c r="Z91">
        <f t="shared" si="87"/>
        <v>0.12876220575464786</v>
      </c>
      <c r="AA91">
        <f t="shared" si="88"/>
        <v>6.1440733675852906E-2</v>
      </c>
      <c r="AB91">
        <f t="shared" si="89"/>
        <v>6.1844188114036969E-2</v>
      </c>
      <c r="AC91">
        <f t="shared" si="90"/>
        <v>8.0808198591796318E-2</v>
      </c>
      <c r="AE91" s="2">
        <f t="shared" si="98"/>
        <v>39569</v>
      </c>
      <c r="AF91" t="s">
        <v>8</v>
      </c>
      <c r="AG91">
        <f t="shared" ref="AG91:AM91" si="121">SQRT(AVERAGE(W80:W91))</f>
        <v>0.21955262604476333</v>
      </c>
      <c r="AH91">
        <f t="shared" si="121"/>
        <v>0.26669869140584407</v>
      </c>
      <c r="AI91">
        <f t="shared" si="121"/>
        <v>0.224481611853633</v>
      </c>
      <c r="AJ91">
        <f t="shared" si="121"/>
        <v>0.26845629878668104</v>
      </c>
      <c r="AK91">
        <f t="shared" si="121"/>
        <v>0.18836590628106939</v>
      </c>
      <c r="AL91">
        <f t="shared" si="121"/>
        <v>0.20671509839812444</v>
      </c>
      <c r="AM91">
        <f t="shared" si="121"/>
        <v>0.21195303164834042</v>
      </c>
    </row>
    <row r="92" spans="1:39" x14ac:dyDescent="0.3">
      <c r="A92" s="2">
        <f t="shared" si="95"/>
        <v>39600</v>
      </c>
      <c r="B92">
        <v>1.0423718797166079</v>
      </c>
      <c r="C92">
        <v>0.42242715212424281</v>
      </c>
      <c r="D92">
        <v>6.3159759697280354E-2</v>
      </c>
      <c r="E92">
        <v>0.43463867395478301</v>
      </c>
      <c r="F92">
        <v>0.59000520681236068</v>
      </c>
      <c r="G92">
        <v>0.34255942336522421</v>
      </c>
      <c r="H92">
        <v>0.29326276180590738</v>
      </c>
      <c r="I92">
        <v>0.32128181407481082</v>
      </c>
      <c r="K92" s="2">
        <f t="shared" si="96"/>
        <v>39600</v>
      </c>
      <c r="L92" t="s">
        <v>8</v>
      </c>
      <c r="M92">
        <f t="shared" si="92"/>
        <v>0.61994472759236507</v>
      </c>
      <c r="N92">
        <f t="shared" si="79"/>
        <v>0.97921212001932756</v>
      </c>
      <c r="O92">
        <f t="shared" si="80"/>
        <v>0.60773320576182499</v>
      </c>
      <c r="P92">
        <f t="shared" si="81"/>
        <v>0.45236667290424726</v>
      </c>
      <c r="Q92">
        <f t="shared" si="82"/>
        <v>0.69981245635138367</v>
      </c>
      <c r="R92">
        <f t="shared" si="83"/>
        <v>0.74910911791070056</v>
      </c>
      <c r="S92">
        <f t="shared" si="84"/>
        <v>0.72109006564179712</v>
      </c>
      <c r="U92" s="2">
        <f t="shared" si="97"/>
        <v>39600</v>
      </c>
      <c r="V92" t="s">
        <v>8</v>
      </c>
      <c r="W92">
        <f t="shared" si="93"/>
        <v>0.38433146526957174</v>
      </c>
      <c r="X92">
        <f t="shared" si="85"/>
        <v>0.95885637599274598</v>
      </c>
      <c r="Y92">
        <f t="shared" si="86"/>
        <v>0.3693396493855447</v>
      </c>
      <c r="Z92">
        <f t="shared" si="87"/>
        <v>0.20463560675445824</v>
      </c>
      <c r="AA92">
        <f t="shared" si="88"/>
        <v>0.48973747406455725</v>
      </c>
      <c r="AB92">
        <f t="shared" si="89"/>
        <v>0.56116447053694785</v>
      </c>
      <c r="AC92">
        <f t="shared" si="90"/>
        <v>0.51997088276729131</v>
      </c>
      <c r="AE92" s="2">
        <f t="shared" si="98"/>
        <v>39600</v>
      </c>
      <c r="AF92" t="s">
        <v>8</v>
      </c>
      <c r="AG92">
        <f t="shared" ref="AG92:AM92" si="122">SQRT(AVERAGE(W81:W92))</f>
        <v>0.28093454153177833</v>
      </c>
      <c r="AH92">
        <f t="shared" si="122"/>
        <v>0.38592246250810991</v>
      </c>
      <c r="AI92">
        <f t="shared" si="122"/>
        <v>0.28281878787339931</v>
      </c>
      <c r="AJ92">
        <f t="shared" si="122"/>
        <v>0.29392252030837707</v>
      </c>
      <c r="AK92">
        <f t="shared" si="122"/>
        <v>0.27433597146037436</v>
      </c>
      <c r="AL92">
        <f t="shared" si="122"/>
        <v>0.29808841200238706</v>
      </c>
      <c r="AM92">
        <f t="shared" si="122"/>
        <v>0.2961718732463835</v>
      </c>
    </row>
    <row r="93" spans="1:39" x14ac:dyDescent="0.3">
      <c r="A93" s="2">
        <f t="shared" si="95"/>
        <v>39630</v>
      </c>
      <c r="B93">
        <v>0.71160653935047335</v>
      </c>
      <c r="C93">
        <v>0.29813338495787312</v>
      </c>
      <c r="D93">
        <v>0.34755917625548088</v>
      </c>
      <c r="E93">
        <v>0.28688881460340149</v>
      </c>
      <c r="F93">
        <v>1.0423718797166079</v>
      </c>
      <c r="G93">
        <v>0.34376185026617151</v>
      </c>
      <c r="H93">
        <v>0.44278394496971663</v>
      </c>
      <c r="I93">
        <v>0.49161002442526858</v>
      </c>
      <c r="K93" s="2">
        <f t="shared" si="96"/>
        <v>39630</v>
      </c>
      <c r="L93" t="s">
        <v>8</v>
      </c>
      <c r="M93">
        <f t="shared" si="92"/>
        <v>0.41347315439260024</v>
      </c>
      <c r="N93">
        <f t="shared" si="79"/>
        <v>0.36404736309499247</v>
      </c>
      <c r="O93">
        <f t="shared" si="80"/>
        <v>0.42471772474707187</v>
      </c>
      <c r="P93">
        <f t="shared" si="81"/>
        <v>0.33076534036613459</v>
      </c>
      <c r="Q93">
        <f t="shared" si="82"/>
        <v>0.36784468908430185</v>
      </c>
      <c r="R93">
        <f t="shared" si="83"/>
        <v>0.26882259438075673</v>
      </c>
      <c r="S93">
        <f t="shared" si="84"/>
        <v>0.21999651492520478</v>
      </c>
      <c r="U93" s="2">
        <f t="shared" si="97"/>
        <v>39630</v>
      </c>
      <c r="V93" t="s">
        <v>8</v>
      </c>
      <c r="W93">
        <f t="shared" si="93"/>
        <v>0.17096004940336704</v>
      </c>
      <c r="X93">
        <f t="shared" si="85"/>
        <v>0.13253048257641728</v>
      </c>
      <c r="Y93">
        <f t="shared" si="86"/>
        <v>0.18038514571432951</v>
      </c>
      <c r="Z93">
        <f t="shared" si="87"/>
        <v>0.10940571038752486</v>
      </c>
      <c r="AA93">
        <f t="shared" si="88"/>
        <v>0.13530971528752669</v>
      </c>
      <c r="AB93">
        <f t="shared" si="89"/>
        <v>7.226558724960086E-2</v>
      </c>
      <c r="AC93">
        <f t="shared" si="90"/>
        <v>4.8398466579235848E-2</v>
      </c>
      <c r="AE93" s="2">
        <f t="shared" si="98"/>
        <v>39630</v>
      </c>
      <c r="AF93" t="s">
        <v>8</v>
      </c>
      <c r="AG93">
        <f t="shared" ref="AG93:AM93" si="123">SQRT(AVERAGE(W82:W93))</f>
        <v>0.30243731835094645</v>
      </c>
      <c r="AH93">
        <f t="shared" si="123"/>
        <v>0.39756841909372453</v>
      </c>
      <c r="AI93">
        <f t="shared" si="123"/>
        <v>0.30562682953318993</v>
      </c>
      <c r="AJ93">
        <f t="shared" si="123"/>
        <v>0.3086567938609544</v>
      </c>
      <c r="AK93">
        <f t="shared" si="123"/>
        <v>0.29030507355224833</v>
      </c>
      <c r="AL93">
        <f t="shared" si="123"/>
        <v>0.30122379264915666</v>
      </c>
      <c r="AM93">
        <f t="shared" si="123"/>
        <v>0.30195797643087957</v>
      </c>
    </row>
    <row r="94" spans="1:39" x14ac:dyDescent="0.3">
      <c r="A94" s="2">
        <f t="shared" si="95"/>
        <v>39661</v>
      </c>
      <c r="B94">
        <v>-0.1489584608295402</v>
      </c>
      <c r="C94">
        <v>0.3211838290047313</v>
      </c>
      <c r="D94">
        <v>0.30846610073814501</v>
      </c>
      <c r="E94">
        <v>0.31462951260271171</v>
      </c>
      <c r="F94">
        <v>0.71160653935047335</v>
      </c>
      <c r="G94">
        <v>0.34439280170542419</v>
      </c>
      <c r="H94">
        <v>0.68022586530895479</v>
      </c>
      <c r="I94">
        <v>0.47787234090498137</v>
      </c>
      <c r="K94" s="2">
        <f t="shared" si="96"/>
        <v>39661</v>
      </c>
      <c r="L94" t="s">
        <v>8</v>
      </c>
      <c r="M94">
        <f t="shared" si="92"/>
        <v>0.47014228983427153</v>
      </c>
      <c r="N94">
        <f t="shared" si="79"/>
        <v>0.45742456156768518</v>
      </c>
      <c r="O94">
        <f t="shared" si="80"/>
        <v>0.46358797343225189</v>
      </c>
      <c r="P94">
        <f t="shared" si="81"/>
        <v>0.86056500018001358</v>
      </c>
      <c r="Q94">
        <f t="shared" si="82"/>
        <v>0.49335126253496442</v>
      </c>
      <c r="R94">
        <f t="shared" si="83"/>
        <v>0.82918432613849502</v>
      </c>
      <c r="S94">
        <f t="shared" si="84"/>
        <v>0.62683080173452155</v>
      </c>
      <c r="U94" s="2">
        <f t="shared" si="97"/>
        <v>39661</v>
      </c>
      <c r="V94" t="s">
        <v>8</v>
      </c>
      <c r="W94">
        <f t="shared" si="93"/>
        <v>0.22103377269061217</v>
      </c>
      <c r="X94">
        <f t="shared" si="85"/>
        <v>0.20923722952538901</v>
      </c>
      <c r="Y94">
        <f t="shared" si="86"/>
        <v>0.21491380911102229</v>
      </c>
      <c r="Z94">
        <f t="shared" si="87"/>
        <v>0.74057211953482682</v>
      </c>
      <c r="AA94">
        <f t="shared" si="88"/>
        <v>0.2433954682448434</v>
      </c>
      <c r="AB94">
        <f t="shared" si="89"/>
        <v>0.6875466467137501</v>
      </c>
      <c r="AC94">
        <f t="shared" si="90"/>
        <v>0.39291685400314308</v>
      </c>
      <c r="AE94" s="2">
        <f t="shared" si="98"/>
        <v>39661</v>
      </c>
      <c r="AF94" t="s">
        <v>8</v>
      </c>
      <c r="AG94">
        <f t="shared" ref="AG94:AM94" si="124">SQRT(AVERAGE(W83:W94))</f>
        <v>0.31967574793513498</v>
      </c>
      <c r="AH94">
        <f t="shared" si="124"/>
        <v>0.41119816766000161</v>
      </c>
      <c r="AI94">
        <f t="shared" si="124"/>
        <v>0.32211296108345944</v>
      </c>
      <c r="AJ94">
        <f t="shared" si="124"/>
        <v>0.39392981606114436</v>
      </c>
      <c r="AK94">
        <f t="shared" si="124"/>
        <v>0.31060805596457702</v>
      </c>
      <c r="AL94">
        <f t="shared" si="124"/>
        <v>0.37482198202680611</v>
      </c>
      <c r="AM94">
        <f t="shared" si="124"/>
        <v>0.34491145019147534</v>
      </c>
    </row>
    <row r="95" spans="1:39" x14ac:dyDescent="0.3">
      <c r="A95" s="2">
        <f t="shared" si="95"/>
        <v>39692</v>
      </c>
      <c r="B95">
        <v>8.5472629967320302E-2</v>
      </c>
      <c r="C95">
        <v>1.5679401440736582E-2</v>
      </c>
      <c r="D95">
        <v>0.12717309936246821</v>
      </c>
      <c r="E95">
        <v>1.567782935121732E-2</v>
      </c>
      <c r="F95">
        <v>-0.1489584608295402</v>
      </c>
      <c r="G95">
        <v>0.34354802214628899</v>
      </c>
      <c r="H95">
        <v>0.5594196820167745</v>
      </c>
      <c r="I95">
        <v>5.6056118845718823E-2</v>
      </c>
      <c r="K95" s="2">
        <f t="shared" si="96"/>
        <v>39692</v>
      </c>
      <c r="L95" t="s">
        <v>8</v>
      </c>
      <c r="M95">
        <f t="shared" si="92"/>
        <v>6.979322852658372E-2</v>
      </c>
      <c r="N95">
        <f t="shared" si="79"/>
        <v>4.1700469395147904E-2</v>
      </c>
      <c r="O95">
        <f t="shared" si="80"/>
        <v>6.9794800616102978E-2</v>
      </c>
      <c r="P95">
        <f t="shared" si="81"/>
        <v>0.2344310907968605</v>
      </c>
      <c r="Q95">
        <f t="shared" si="82"/>
        <v>0.25807539217896869</v>
      </c>
      <c r="R95">
        <f t="shared" si="83"/>
        <v>0.4739470520494542</v>
      </c>
      <c r="S95">
        <f t="shared" si="84"/>
        <v>2.9416511121601478E-2</v>
      </c>
      <c r="U95" s="2">
        <f t="shared" si="97"/>
        <v>39692</v>
      </c>
      <c r="V95" t="s">
        <v>8</v>
      </c>
      <c r="W95">
        <f t="shared" si="93"/>
        <v>4.8710947481639399E-3</v>
      </c>
      <c r="X95">
        <f t="shared" si="85"/>
        <v>1.7389291477756671E-3</v>
      </c>
      <c r="Y95">
        <f t="shared" si="86"/>
        <v>4.8713141930415687E-3</v>
      </c>
      <c r="Z95">
        <f t="shared" si="87"/>
        <v>5.4957936332205852E-2</v>
      </c>
      <c r="AA95">
        <f t="shared" si="88"/>
        <v>6.6602908048328496E-2</v>
      </c>
      <c r="AB95">
        <f t="shared" si="89"/>
        <v>0.22462580814636804</v>
      </c>
      <c r="AC95">
        <f t="shared" si="90"/>
        <v>8.6533112656730351E-4</v>
      </c>
      <c r="AE95" s="2">
        <f t="shared" si="98"/>
        <v>39692</v>
      </c>
      <c r="AF95" t="s">
        <v>8</v>
      </c>
      <c r="AG95">
        <f t="shared" ref="AG95:AM95" si="125">SQRT(AVERAGE(W84:W95))</f>
        <v>0.31509330312381767</v>
      </c>
      <c r="AH95">
        <f t="shared" si="125"/>
        <v>0.4062924558155685</v>
      </c>
      <c r="AI95">
        <f t="shared" si="125"/>
        <v>0.31720912210200242</v>
      </c>
      <c r="AJ95">
        <f t="shared" si="125"/>
        <v>0.38334422720920563</v>
      </c>
      <c r="AK95">
        <f t="shared" si="125"/>
        <v>0.31855749335454636</v>
      </c>
      <c r="AL95">
        <f t="shared" si="125"/>
        <v>0.39647155872493572</v>
      </c>
      <c r="AM95">
        <f t="shared" si="125"/>
        <v>0.33730048353288161</v>
      </c>
    </row>
    <row r="96" spans="1:39" x14ac:dyDescent="0.3">
      <c r="A96" s="2">
        <f t="shared" si="95"/>
        <v>39722</v>
      </c>
      <c r="B96">
        <v>-0.86356163995580104</v>
      </c>
      <c r="C96">
        <v>0.14193671307269701</v>
      </c>
      <c r="D96">
        <v>0.22217271427816651</v>
      </c>
      <c r="E96">
        <v>0.14702940100664141</v>
      </c>
      <c r="F96">
        <v>8.5472629967320302E-2</v>
      </c>
      <c r="G96">
        <v>0.34310686762974368</v>
      </c>
      <c r="H96">
        <v>0.24737648668852319</v>
      </c>
      <c r="I96">
        <v>0.25194030960837333</v>
      </c>
      <c r="K96" s="2">
        <f t="shared" si="96"/>
        <v>39722</v>
      </c>
      <c r="L96" t="s">
        <v>8</v>
      </c>
      <c r="M96">
        <f t="shared" si="92"/>
        <v>1.005498353028498</v>
      </c>
      <c r="N96">
        <f t="shared" si="79"/>
        <v>1.0857343542339675</v>
      </c>
      <c r="O96">
        <f t="shared" si="80"/>
        <v>1.0105910409624426</v>
      </c>
      <c r="P96">
        <f t="shared" si="81"/>
        <v>0.94903426992312134</v>
      </c>
      <c r="Q96">
        <f t="shared" si="82"/>
        <v>1.2066685075855448</v>
      </c>
      <c r="R96">
        <f t="shared" si="83"/>
        <v>1.1109381266443243</v>
      </c>
      <c r="S96">
        <f t="shared" si="84"/>
        <v>1.1155019495641745</v>
      </c>
      <c r="U96" s="2">
        <f t="shared" si="97"/>
        <v>39722</v>
      </c>
      <c r="V96" t="s">
        <v>8</v>
      </c>
      <c r="W96">
        <f t="shared" si="93"/>
        <v>1.0110269379430219</v>
      </c>
      <c r="X96">
        <f t="shared" si="85"/>
        <v>1.1788190879638503</v>
      </c>
      <c r="Y96">
        <f t="shared" si="86"/>
        <v>1.0212942520735533</v>
      </c>
      <c r="Z96">
        <f t="shared" si="87"/>
        <v>0.90066604548851192</v>
      </c>
      <c r="AA96">
        <f t="shared" si="88"/>
        <v>1.456048887198726</v>
      </c>
      <c r="AB96">
        <f t="shared" si="89"/>
        <v>1.2341835212320009</v>
      </c>
      <c r="AC96">
        <f t="shared" si="90"/>
        <v>1.2443445994814741</v>
      </c>
      <c r="AE96" s="2">
        <f t="shared" si="98"/>
        <v>39722</v>
      </c>
      <c r="AF96" t="s">
        <v>8</v>
      </c>
      <c r="AG96">
        <f t="shared" ref="AG96:AM96" si="126">SQRT(AVERAGE(W85:W96))</f>
        <v>0.42664050770799034</v>
      </c>
      <c r="AH96">
        <f t="shared" si="126"/>
        <v>0.51312968872515419</v>
      </c>
      <c r="AI96">
        <f t="shared" si="126"/>
        <v>0.42924354549550858</v>
      </c>
      <c r="AJ96">
        <f t="shared" si="126"/>
        <v>0.47000639795043836</v>
      </c>
      <c r="AK96">
        <f t="shared" si="126"/>
        <v>0.47193211214093989</v>
      </c>
      <c r="AL96">
        <f t="shared" si="126"/>
        <v>0.50903641156267376</v>
      </c>
      <c r="AM96">
        <f t="shared" si="126"/>
        <v>0.46633013087769587</v>
      </c>
    </row>
    <row r="97" spans="1:39" x14ac:dyDescent="0.3">
      <c r="A97" s="2">
        <f t="shared" si="95"/>
        <v>39753</v>
      </c>
      <c r="B97">
        <v>-1.786409409281831</v>
      </c>
      <c r="C97">
        <v>-0.4757773502993628</v>
      </c>
      <c r="D97">
        <v>-0.29271856796680717</v>
      </c>
      <c r="E97">
        <v>-0.49818828044896069</v>
      </c>
      <c r="F97">
        <v>-0.86356163995580104</v>
      </c>
      <c r="G97">
        <v>0.3410477063540005</v>
      </c>
      <c r="H97">
        <v>0.31960278186282848</v>
      </c>
      <c r="I97">
        <v>-0.12497197682315669</v>
      </c>
      <c r="K97" s="2">
        <f t="shared" si="96"/>
        <v>39753</v>
      </c>
      <c r="L97" t="s">
        <v>8</v>
      </c>
      <c r="M97">
        <f t="shared" si="92"/>
        <v>1.3106320589824683</v>
      </c>
      <c r="N97">
        <f t="shared" si="79"/>
        <v>1.4936908413150238</v>
      </c>
      <c r="O97">
        <f t="shared" si="80"/>
        <v>1.2882211288328702</v>
      </c>
      <c r="P97">
        <f t="shared" si="81"/>
        <v>0.92284776932602997</v>
      </c>
      <c r="Q97">
        <f t="shared" si="82"/>
        <v>2.1274571156358313</v>
      </c>
      <c r="R97">
        <f t="shared" si="83"/>
        <v>2.1060121911446594</v>
      </c>
      <c r="S97">
        <f t="shared" si="84"/>
        <v>1.6614374324586743</v>
      </c>
      <c r="U97" s="2">
        <f t="shared" si="97"/>
        <v>39753</v>
      </c>
      <c r="V97" t="s">
        <v>8</v>
      </c>
      <c r="W97">
        <f t="shared" si="93"/>
        <v>1.7177563940326241</v>
      </c>
      <c r="X97">
        <f t="shared" si="85"/>
        <v>2.2311123294283837</v>
      </c>
      <c r="Y97">
        <f t="shared" si="86"/>
        <v>1.6595136767714345</v>
      </c>
      <c r="Z97">
        <f t="shared" si="87"/>
        <v>0.85164800535002938</v>
      </c>
      <c r="AA97">
        <f t="shared" si="88"/>
        <v>4.5260737788695309</v>
      </c>
      <c r="AB97">
        <f t="shared" si="89"/>
        <v>4.4352873492499292</v>
      </c>
      <c r="AC97">
        <f t="shared" si="90"/>
        <v>2.7603743419748716</v>
      </c>
      <c r="AE97" s="2">
        <f t="shared" si="98"/>
        <v>39753</v>
      </c>
      <c r="AF97" t="s">
        <v>8</v>
      </c>
      <c r="AG97">
        <f t="shared" ref="AG97:AM97" si="127">SQRT(AVERAGE(W86:W97))</f>
        <v>0.55352686145605068</v>
      </c>
      <c r="AH97">
        <f t="shared" si="127"/>
        <v>0.65451995729876944</v>
      </c>
      <c r="AI97">
        <f t="shared" si="127"/>
        <v>0.55008288458276744</v>
      </c>
      <c r="AJ97">
        <f t="shared" si="127"/>
        <v>0.52256790259436725</v>
      </c>
      <c r="AK97">
        <f t="shared" si="127"/>
        <v>0.76399245564661389</v>
      </c>
      <c r="AL97">
        <f t="shared" si="127"/>
        <v>0.78198943014072364</v>
      </c>
      <c r="AM97">
        <f t="shared" si="127"/>
        <v>0.65229766877236162</v>
      </c>
    </row>
    <row r="98" spans="1:39" x14ac:dyDescent="0.3">
      <c r="A98" s="2">
        <f t="shared" si="95"/>
        <v>39783</v>
      </c>
      <c r="B98">
        <v>-0.82676050540815282</v>
      </c>
      <c r="C98">
        <v>-0.67836472241078516</v>
      </c>
      <c r="D98">
        <v>-0.65089072056380648</v>
      </c>
      <c r="E98">
        <v>-0.69768993261796719</v>
      </c>
      <c r="F98">
        <v>-1.786409409281831</v>
      </c>
      <c r="G98">
        <v>0.33742341825240618</v>
      </c>
      <c r="H98">
        <v>-0.32052976973230729</v>
      </c>
      <c r="I98">
        <v>-0.59779369173388808</v>
      </c>
      <c r="K98" s="2">
        <f t="shared" si="96"/>
        <v>39783</v>
      </c>
      <c r="L98" t="s">
        <v>8</v>
      </c>
      <c r="M98">
        <f t="shared" si="92"/>
        <v>0.14839578299736766</v>
      </c>
      <c r="N98">
        <f t="shared" si="79"/>
        <v>0.17586978484434634</v>
      </c>
      <c r="O98">
        <f t="shared" si="80"/>
        <v>0.12907057279018563</v>
      </c>
      <c r="P98">
        <f t="shared" si="81"/>
        <v>0.95964890387367818</v>
      </c>
      <c r="Q98">
        <f t="shared" si="82"/>
        <v>1.1641839236605591</v>
      </c>
      <c r="R98">
        <f t="shared" si="83"/>
        <v>0.50623073567584553</v>
      </c>
      <c r="S98">
        <f t="shared" si="84"/>
        <v>0.22896681367426475</v>
      </c>
      <c r="U98" s="2">
        <f t="shared" si="97"/>
        <v>39783</v>
      </c>
      <c r="V98" t="s">
        <v>8</v>
      </c>
      <c r="W98">
        <f t="shared" si="93"/>
        <v>2.2021308411401833E-2</v>
      </c>
      <c r="X98">
        <f t="shared" si="85"/>
        <v>3.0930181221196677E-2</v>
      </c>
      <c r="Y98">
        <f t="shared" si="86"/>
        <v>1.6659212760386607E-2</v>
      </c>
      <c r="Z98">
        <f t="shared" si="87"/>
        <v>0.92092601870595203</v>
      </c>
      <c r="AA98">
        <f t="shared" si="88"/>
        <v>1.3553242081096946</v>
      </c>
      <c r="AB98">
        <f t="shared" si="89"/>
        <v>0.25626955774290777</v>
      </c>
      <c r="AC98">
        <f t="shared" si="90"/>
        <v>5.242580176414547E-2</v>
      </c>
      <c r="AE98" s="2">
        <f t="shared" si="98"/>
        <v>39783</v>
      </c>
      <c r="AF98" t="s">
        <v>8</v>
      </c>
      <c r="AG98">
        <f t="shared" ref="AG98:AM98" si="128">SQRT(AVERAGE(W87:W98))</f>
        <v>0.55294905697798014</v>
      </c>
      <c r="AH98">
        <f t="shared" si="128"/>
        <v>0.65562659202840112</v>
      </c>
      <c r="AI98">
        <f t="shared" si="128"/>
        <v>0.54892254449909317</v>
      </c>
      <c r="AJ98">
        <f t="shared" si="128"/>
        <v>0.57404815369392626</v>
      </c>
      <c r="AK98">
        <f t="shared" si="128"/>
        <v>0.83450133362031054</v>
      </c>
      <c r="AL98">
        <f t="shared" si="128"/>
        <v>0.79552698382446141</v>
      </c>
      <c r="AM98">
        <f t="shared" si="128"/>
        <v>0.65373187606161964</v>
      </c>
    </row>
    <row r="99" spans="1:39" x14ac:dyDescent="0.3">
      <c r="A99" s="2">
        <f t="shared" si="95"/>
        <v>39814</v>
      </c>
      <c r="B99">
        <v>0.25275743322668021</v>
      </c>
      <c r="C99">
        <v>-0.55937821288188305</v>
      </c>
      <c r="D99">
        <v>-0.46756940552245269</v>
      </c>
      <c r="E99">
        <v>-0.52547200924030335</v>
      </c>
      <c r="F99">
        <v>-0.82676050540815282</v>
      </c>
      <c r="G99">
        <v>0.33544351362033042</v>
      </c>
      <c r="H99">
        <v>-0.91424747986159527</v>
      </c>
      <c r="I99">
        <v>-0.61464256985446486</v>
      </c>
      <c r="K99" s="2">
        <f t="shared" si="96"/>
        <v>39814</v>
      </c>
      <c r="L99" t="s">
        <v>8</v>
      </c>
      <c r="M99">
        <f t="shared" si="92"/>
        <v>0.81213564610856326</v>
      </c>
      <c r="N99">
        <f t="shared" si="79"/>
        <v>0.72032683874913284</v>
      </c>
      <c r="O99">
        <f t="shared" si="80"/>
        <v>0.77822944246698356</v>
      </c>
      <c r="P99">
        <f t="shared" si="81"/>
        <v>1.079517938634833</v>
      </c>
      <c r="Q99">
        <f t="shared" si="82"/>
        <v>8.2686080393650219E-2</v>
      </c>
      <c r="R99">
        <f t="shared" si="83"/>
        <v>1.1670049130882756</v>
      </c>
      <c r="S99">
        <f t="shared" si="84"/>
        <v>0.86740000308114507</v>
      </c>
      <c r="U99" s="2">
        <f t="shared" si="97"/>
        <v>39814</v>
      </c>
      <c r="V99" t="s">
        <v>8</v>
      </c>
      <c r="W99">
        <f t="shared" si="93"/>
        <v>0.65956430768017349</v>
      </c>
      <c r="X99">
        <f t="shared" si="85"/>
        <v>0.51887075462231924</v>
      </c>
      <c r="Y99">
        <f t="shared" si="86"/>
        <v>0.60564106512247207</v>
      </c>
      <c r="Z99">
        <f t="shared" si="87"/>
        <v>1.1653589798343991</v>
      </c>
      <c r="AA99">
        <f t="shared" si="88"/>
        <v>6.8369878908651873E-3</v>
      </c>
      <c r="AB99">
        <f t="shared" si="89"/>
        <v>1.3619004671721737</v>
      </c>
      <c r="AC99">
        <f t="shared" si="90"/>
        <v>0.75238276534517046</v>
      </c>
      <c r="AE99" s="2">
        <f t="shared" si="98"/>
        <v>39814</v>
      </c>
      <c r="AF99" t="s">
        <v>8</v>
      </c>
      <c r="AG99">
        <f t="shared" ref="AG99:AM99" si="129">SQRT(AVERAGE(W88:W99))</f>
        <v>0.59997211652832583</v>
      </c>
      <c r="AH99">
        <f t="shared" si="129"/>
        <v>0.68745507854882915</v>
      </c>
      <c r="AI99">
        <f t="shared" si="129"/>
        <v>0.59222944374770103</v>
      </c>
      <c r="AJ99">
        <f t="shared" si="129"/>
        <v>0.6529887607121253</v>
      </c>
      <c r="AK99">
        <f t="shared" si="129"/>
        <v>0.83484248932237248</v>
      </c>
      <c r="AL99">
        <f t="shared" si="129"/>
        <v>0.86279315926684252</v>
      </c>
      <c r="AM99">
        <f t="shared" si="129"/>
        <v>0.69954540880731875</v>
      </c>
    </row>
    <row r="100" spans="1:39" x14ac:dyDescent="0.3">
      <c r="A100" s="2">
        <f t="shared" si="95"/>
        <v>39845</v>
      </c>
      <c r="B100">
        <v>0.36360422314452018</v>
      </c>
      <c r="C100">
        <v>0.37874805828012992</v>
      </c>
      <c r="D100">
        <v>-2.274648017405537E-2</v>
      </c>
      <c r="E100">
        <v>0.3901939303614933</v>
      </c>
      <c r="F100">
        <v>0.25275743322668021</v>
      </c>
      <c r="G100">
        <v>0.3353031297826502</v>
      </c>
      <c r="H100">
        <v>-0.45653061148057472</v>
      </c>
      <c r="I100">
        <v>1.035994975767888E-2</v>
      </c>
      <c r="K100" s="2">
        <f t="shared" si="96"/>
        <v>39845</v>
      </c>
      <c r="L100" t="s">
        <v>8</v>
      </c>
      <c r="M100">
        <f t="shared" si="92"/>
        <v>1.514383513560974E-2</v>
      </c>
      <c r="N100">
        <f t="shared" si="79"/>
        <v>0.38635070331857557</v>
      </c>
      <c r="O100">
        <f t="shared" si="80"/>
        <v>2.6589707216973124E-2</v>
      </c>
      <c r="P100">
        <f t="shared" si="81"/>
        <v>0.11084678991783997</v>
      </c>
      <c r="Q100">
        <f t="shared" si="82"/>
        <v>2.8301093361869978E-2</v>
      </c>
      <c r="R100">
        <f t="shared" si="83"/>
        <v>0.82013483462509496</v>
      </c>
      <c r="S100">
        <f t="shared" si="84"/>
        <v>0.35324427338684128</v>
      </c>
      <c r="U100" s="2">
        <f t="shared" si="97"/>
        <v>39845</v>
      </c>
      <c r="V100" t="s">
        <v>8</v>
      </c>
      <c r="W100">
        <f t="shared" si="93"/>
        <v>2.2933574261452808E-4</v>
      </c>
      <c r="X100">
        <f t="shared" si="85"/>
        <v>0.14926686595475799</v>
      </c>
      <c r="Y100">
        <f t="shared" si="86"/>
        <v>7.0701252988435268E-4</v>
      </c>
      <c r="Z100">
        <f t="shared" si="87"/>
        <v>1.228701083508975E-2</v>
      </c>
      <c r="AA100">
        <f t="shared" si="88"/>
        <v>8.0095188547728096E-4</v>
      </c>
      <c r="AB100">
        <f t="shared" si="89"/>
        <v>0.67262114696553188</v>
      </c>
      <c r="AC100">
        <f t="shared" si="90"/>
        <v>0.12478151668059746</v>
      </c>
      <c r="AE100" s="2">
        <f t="shared" si="98"/>
        <v>39845</v>
      </c>
      <c r="AF100" t="s">
        <v>8</v>
      </c>
      <c r="AG100">
        <f t="shared" ref="AG100:AM100" si="130">SQRT(AVERAGE(W89:W100))</f>
        <v>0.59929761936100134</v>
      </c>
      <c r="AH100">
        <f t="shared" si="130"/>
        <v>0.6959021034674574</v>
      </c>
      <c r="AI100">
        <f t="shared" si="130"/>
        <v>0.59151084630715645</v>
      </c>
      <c r="AJ100">
        <f t="shared" si="130"/>
        <v>0.65309993603744187</v>
      </c>
      <c r="AK100">
        <f t="shared" si="130"/>
        <v>0.83437338005910577</v>
      </c>
      <c r="AL100">
        <f t="shared" si="130"/>
        <v>0.89389697633598542</v>
      </c>
      <c r="AM100">
        <f t="shared" si="130"/>
        <v>0.70610841547176728</v>
      </c>
    </row>
    <row r="101" spans="1:39" x14ac:dyDescent="0.3">
      <c r="A101" s="2">
        <f t="shared" si="95"/>
        <v>39873</v>
      </c>
      <c r="B101">
        <v>-9.8777054127285879E-2</v>
      </c>
      <c r="C101">
        <v>0.20197023501922959</v>
      </c>
      <c r="D101">
        <v>5.0586250616044569E-2</v>
      </c>
      <c r="E101">
        <v>0.18066459311332889</v>
      </c>
      <c r="F101">
        <v>0.36360422314452018</v>
      </c>
      <c r="G101">
        <v>0.33535109773750083</v>
      </c>
      <c r="H101">
        <v>-3.1496586915687297E-2</v>
      </c>
      <c r="I101">
        <v>-2.2570004313313428E-2</v>
      </c>
      <c r="K101" s="2">
        <f t="shared" si="96"/>
        <v>39873</v>
      </c>
      <c r="L101" t="s">
        <v>8</v>
      </c>
      <c r="M101">
        <f t="shared" si="92"/>
        <v>0.3007472891465155</v>
      </c>
      <c r="N101">
        <f t="shared" si="79"/>
        <v>0.14936330474333046</v>
      </c>
      <c r="O101">
        <f t="shared" si="80"/>
        <v>0.27944164724061477</v>
      </c>
      <c r="P101">
        <f t="shared" si="81"/>
        <v>0.46238127727180606</v>
      </c>
      <c r="Q101">
        <f t="shared" si="82"/>
        <v>0.4341281518647867</v>
      </c>
      <c r="R101">
        <f t="shared" si="83"/>
        <v>6.7280467211598582E-2</v>
      </c>
      <c r="S101">
        <f t="shared" si="84"/>
        <v>7.6207049813972444E-2</v>
      </c>
      <c r="U101" s="2">
        <f t="shared" si="97"/>
        <v>39873</v>
      </c>
      <c r="V101" t="s">
        <v>8</v>
      </c>
      <c r="W101">
        <f t="shared" si="93"/>
        <v>9.0448931928977794E-2</v>
      </c>
      <c r="X101">
        <f t="shared" si="85"/>
        <v>2.2309396803849003E-2</v>
      </c>
      <c r="Y101">
        <f t="shared" si="86"/>
        <v>7.8087634212548176E-2</v>
      </c>
      <c r="Z101">
        <f t="shared" si="87"/>
        <v>0.21379644557150679</v>
      </c>
      <c r="AA101">
        <f t="shared" si="88"/>
        <v>0.18846725224153532</v>
      </c>
      <c r="AB101">
        <f t="shared" si="89"/>
        <v>4.526661268210992E-3</v>
      </c>
      <c r="AC101">
        <f t="shared" si="90"/>
        <v>5.8075144413492772E-3</v>
      </c>
      <c r="AE101" s="2">
        <f t="shared" si="98"/>
        <v>39873</v>
      </c>
      <c r="AF101" t="s">
        <v>8</v>
      </c>
      <c r="AG101">
        <f t="shared" ref="AG101:AM101" si="131">SQRT(AVERAGE(W90:W101))</f>
        <v>0.60504570433762006</v>
      </c>
      <c r="AH101">
        <f t="shared" si="131"/>
        <v>0.69661314268125529</v>
      </c>
      <c r="AI101">
        <f t="shared" si="131"/>
        <v>0.59632873033331568</v>
      </c>
      <c r="AJ101">
        <f t="shared" si="131"/>
        <v>0.66576337417770992</v>
      </c>
      <c r="AK101">
        <f t="shared" si="131"/>
        <v>0.84372159307990591</v>
      </c>
      <c r="AL101">
        <f t="shared" si="131"/>
        <v>0.89407781739551451</v>
      </c>
      <c r="AM101">
        <f t="shared" si="131"/>
        <v>0.7063955461317003</v>
      </c>
    </row>
    <row r="102" spans="1:39" x14ac:dyDescent="0.3">
      <c r="A102" s="2">
        <f t="shared" si="95"/>
        <v>39904</v>
      </c>
      <c r="B102">
        <v>0.1006575752197314</v>
      </c>
      <c r="C102">
        <v>-8.1907690422604595E-2</v>
      </c>
      <c r="D102">
        <v>-0.28746586083023401</v>
      </c>
      <c r="E102">
        <v>-0.1091104142141802</v>
      </c>
      <c r="F102">
        <v>-9.8777054127285879E-2</v>
      </c>
      <c r="G102">
        <v>0.3346165323367144</v>
      </c>
      <c r="H102">
        <v>-3.33054860733431E-3</v>
      </c>
      <c r="I102">
        <v>-2.14079651144581E-2</v>
      </c>
      <c r="K102" s="2">
        <f t="shared" si="96"/>
        <v>39904</v>
      </c>
      <c r="L102" t="s">
        <v>8</v>
      </c>
      <c r="M102">
        <f t="shared" si="92"/>
        <v>0.18256526564233599</v>
      </c>
      <c r="N102">
        <f t="shared" si="79"/>
        <v>0.38812343604996541</v>
      </c>
      <c r="O102">
        <f t="shared" si="80"/>
        <v>0.20976798943391162</v>
      </c>
      <c r="P102">
        <f t="shared" si="81"/>
        <v>0.19943462934701728</v>
      </c>
      <c r="Q102">
        <f t="shared" si="82"/>
        <v>0.233958957116983</v>
      </c>
      <c r="R102">
        <f t="shared" si="83"/>
        <v>0.10398812382706571</v>
      </c>
      <c r="S102">
        <f t="shared" si="84"/>
        <v>0.1220655403341895</v>
      </c>
      <c r="U102" s="2">
        <f t="shared" si="97"/>
        <v>39904</v>
      </c>
      <c r="V102" t="s">
        <v>8</v>
      </c>
      <c r="W102">
        <f t="shared" si="93"/>
        <v>3.333007621905671E-2</v>
      </c>
      <c r="X102">
        <f t="shared" si="85"/>
        <v>0.15063980161123158</v>
      </c>
      <c r="Y102">
        <f t="shared" si="86"/>
        <v>4.4002609391145656E-2</v>
      </c>
      <c r="Z102">
        <f t="shared" si="87"/>
        <v>3.9774171382782164E-2</v>
      </c>
      <c r="AA102">
        <f t="shared" si="88"/>
        <v>5.4736793615266288E-2</v>
      </c>
      <c r="AB102">
        <f t="shared" si="89"/>
        <v>1.0813529897073151E-2</v>
      </c>
      <c r="AC102">
        <f t="shared" si="90"/>
        <v>1.4899996137077643E-2</v>
      </c>
      <c r="AE102" s="2">
        <f t="shared" si="98"/>
        <v>39904</v>
      </c>
      <c r="AF102" t="s">
        <v>8</v>
      </c>
      <c r="AG102">
        <f t="shared" ref="AG102:AM102" si="132">SQRT(AVERAGE(W91:W102))</f>
        <v>0.60683032466702236</v>
      </c>
      <c r="AH102">
        <f t="shared" si="132"/>
        <v>0.69676143828112991</v>
      </c>
      <c r="AI102">
        <f t="shared" si="132"/>
        <v>0.59889044983733353</v>
      </c>
      <c r="AJ102">
        <f t="shared" si="132"/>
        <v>0.66725746254924811</v>
      </c>
      <c r="AK102">
        <f t="shared" si="132"/>
        <v>0.84581199443356425</v>
      </c>
      <c r="AL102">
        <f t="shared" si="132"/>
        <v>0.89363718095808375</v>
      </c>
      <c r="AM102">
        <f t="shared" si="132"/>
        <v>0.70698752163037493</v>
      </c>
    </row>
    <row r="103" spans="1:39" x14ac:dyDescent="0.3">
      <c r="A103" s="2">
        <f t="shared" si="95"/>
        <v>39934</v>
      </c>
      <c r="B103">
        <v>0.14704123326474419</v>
      </c>
      <c r="C103">
        <v>1.38040381021921E-2</v>
      </c>
      <c r="D103">
        <v>3.2747243783779717E-2</v>
      </c>
      <c r="E103">
        <v>2.4245115719551191E-2</v>
      </c>
      <c r="F103">
        <v>0.1006575752197314</v>
      </c>
      <c r="G103">
        <v>0.33422133139563842</v>
      </c>
      <c r="H103">
        <v>-3.4644201846983837E-2</v>
      </c>
      <c r="I103">
        <v>0.1535588451270585</v>
      </c>
      <c r="K103" s="2">
        <f t="shared" si="96"/>
        <v>39934</v>
      </c>
      <c r="L103" t="s">
        <v>8</v>
      </c>
      <c r="M103">
        <f t="shared" si="92"/>
        <v>0.13323719516255209</v>
      </c>
      <c r="N103">
        <f t="shared" si="79"/>
        <v>0.11429398948096448</v>
      </c>
      <c r="O103">
        <f t="shared" si="80"/>
        <v>0.122796117545193</v>
      </c>
      <c r="P103">
        <f t="shared" si="81"/>
        <v>4.6383658045012793E-2</v>
      </c>
      <c r="Q103">
        <f t="shared" si="82"/>
        <v>0.18718009813089423</v>
      </c>
      <c r="R103">
        <f t="shared" si="83"/>
        <v>0.18168543511172802</v>
      </c>
      <c r="S103">
        <f t="shared" si="84"/>
        <v>6.5176118623143098E-3</v>
      </c>
      <c r="U103" s="2">
        <f t="shared" si="97"/>
        <v>39934</v>
      </c>
      <c r="V103" t="s">
        <v>8</v>
      </c>
      <c r="W103">
        <f t="shared" si="93"/>
        <v>1.7752150174783994E-2</v>
      </c>
      <c r="X103">
        <f t="shared" si="85"/>
        <v>1.3063116031474819E-2</v>
      </c>
      <c r="Y103">
        <f t="shared" si="86"/>
        <v>1.5078886484172856E-2</v>
      </c>
      <c r="Z103">
        <f t="shared" si="87"/>
        <v>2.1514437336366799E-3</v>
      </c>
      <c r="AA103">
        <f t="shared" si="88"/>
        <v>3.5036389136291195E-2</v>
      </c>
      <c r="AB103">
        <f t="shared" si="89"/>
        <v>3.300959733173793E-2</v>
      </c>
      <c r="AC103">
        <f t="shared" si="90"/>
        <v>4.2479264387780208E-5</v>
      </c>
      <c r="AE103" s="2">
        <f t="shared" si="98"/>
        <v>39934</v>
      </c>
      <c r="AF103" t="s">
        <v>8</v>
      </c>
      <c r="AG103">
        <f t="shared" ref="AG103:AM103" si="133">SQRT(AVERAGE(W92:W103))</f>
        <v>0.60092469191546583</v>
      </c>
      <c r="AH103">
        <f t="shared" si="133"/>
        <v>0.68296989629115379</v>
      </c>
      <c r="AI103">
        <f t="shared" si="133"/>
        <v>0.59234662344986933</v>
      </c>
      <c r="AJ103">
        <f t="shared" si="133"/>
        <v>0.65930389388549571</v>
      </c>
      <c r="AK103">
        <f t="shared" si="133"/>
        <v>0.84451025327270013</v>
      </c>
      <c r="AL103">
        <f t="shared" si="133"/>
        <v>0.89229172843051685</v>
      </c>
      <c r="AM103">
        <f t="shared" si="133"/>
        <v>0.70221142053546992</v>
      </c>
    </row>
    <row r="104" spans="1:39" x14ac:dyDescent="0.3">
      <c r="A104" s="2">
        <f t="shared" si="95"/>
        <v>39965</v>
      </c>
      <c r="B104">
        <v>0.826535985544119</v>
      </c>
      <c r="C104">
        <v>0.20554162070218179</v>
      </c>
      <c r="D104">
        <v>0.1867803820801805</v>
      </c>
      <c r="E104">
        <v>0.21119521233032279</v>
      </c>
      <c r="F104">
        <v>0.14704123326474419</v>
      </c>
      <c r="G104">
        <v>0.33390568198900961</v>
      </c>
      <c r="H104">
        <v>0.20318486350170351</v>
      </c>
      <c r="I104">
        <v>0.21119384165181659</v>
      </c>
      <c r="K104" s="2">
        <f t="shared" si="96"/>
        <v>39965</v>
      </c>
      <c r="L104" t="s">
        <v>8</v>
      </c>
      <c r="M104">
        <f t="shared" si="92"/>
        <v>0.62099436484193715</v>
      </c>
      <c r="N104">
        <f t="shared" si="79"/>
        <v>0.63975560346393845</v>
      </c>
      <c r="O104">
        <f t="shared" si="80"/>
        <v>0.61534077321379621</v>
      </c>
      <c r="P104">
        <f t="shared" si="81"/>
        <v>0.67949475227937484</v>
      </c>
      <c r="Q104">
        <f t="shared" si="82"/>
        <v>0.49263030355510939</v>
      </c>
      <c r="R104">
        <f t="shared" si="83"/>
        <v>0.6233511220424155</v>
      </c>
      <c r="S104">
        <f t="shared" si="84"/>
        <v>0.61534214389230235</v>
      </c>
      <c r="U104" s="2">
        <f t="shared" si="97"/>
        <v>39965</v>
      </c>
      <c r="V104" t="s">
        <v>8</v>
      </c>
      <c r="W104">
        <f t="shared" si="93"/>
        <v>0.38563400116544094</v>
      </c>
      <c r="X104">
        <f t="shared" si="85"/>
        <v>0.40928723216350804</v>
      </c>
      <c r="Y104">
        <f t="shared" si="86"/>
        <v>0.37864426717935257</v>
      </c>
      <c r="Z104">
        <f t="shared" si="87"/>
        <v>0.46171311837520895</v>
      </c>
      <c r="AA104">
        <f t="shared" si="88"/>
        <v>0.24268461598079924</v>
      </c>
      <c r="AB104">
        <f t="shared" si="89"/>
        <v>0.38856662135153835</v>
      </c>
      <c r="AC104">
        <f t="shared" si="90"/>
        <v>0.37864595404997492</v>
      </c>
      <c r="AE104" s="2">
        <f t="shared" si="98"/>
        <v>39965</v>
      </c>
      <c r="AF104" t="s">
        <v>8</v>
      </c>
      <c r="AG104">
        <f t="shared" ref="AG104:AM104" si="134">SQRT(AVERAGE(W93:W104))</f>
        <v>0.60101499982253903</v>
      </c>
      <c r="AH104">
        <f t="shared" si="134"/>
        <v>0.6485757092179083</v>
      </c>
      <c r="AI104">
        <f t="shared" si="134"/>
        <v>0.59300076486342912</v>
      </c>
      <c r="AJ104">
        <f t="shared" si="134"/>
        <v>0.67535527721412891</v>
      </c>
      <c r="AK104">
        <f t="shared" si="134"/>
        <v>0.83223183651496635</v>
      </c>
      <c r="AL104">
        <f t="shared" si="134"/>
        <v>0.88419532600366935</v>
      </c>
      <c r="AM104">
        <f t="shared" si="134"/>
        <v>0.69377503683638897</v>
      </c>
    </row>
    <row r="105" spans="1:39" x14ac:dyDescent="0.3">
      <c r="A105" s="2">
        <f t="shared" si="95"/>
        <v>39995</v>
      </c>
      <c r="B105">
        <v>-2.9800985515571199E-2</v>
      </c>
      <c r="C105">
        <v>0.55340547136771467</v>
      </c>
      <c r="D105">
        <v>0.48146035132401482</v>
      </c>
      <c r="E105">
        <v>0.55839459239564704</v>
      </c>
      <c r="F105">
        <v>0.826535985544119</v>
      </c>
      <c r="G105">
        <v>0.33473502593438859</v>
      </c>
      <c r="H105">
        <v>0.2114364325924768</v>
      </c>
      <c r="I105">
        <v>0.46924868054728741</v>
      </c>
      <c r="K105" s="2">
        <f t="shared" si="96"/>
        <v>39995</v>
      </c>
      <c r="L105" t="s">
        <v>8</v>
      </c>
      <c r="M105">
        <f t="shared" si="92"/>
        <v>0.58320645688328587</v>
      </c>
      <c r="N105">
        <f t="shared" si="79"/>
        <v>0.51126133683958597</v>
      </c>
      <c r="O105">
        <f t="shared" si="80"/>
        <v>0.58819557791121824</v>
      </c>
      <c r="P105">
        <f t="shared" si="81"/>
        <v>0.8563369710596902</v>
      </c>
      <c r="Q105">
        <f t="shared" si="82"/>
        <v>0.36453601144995978</v>
      </c>
      <c r="R105">
        <f t="shared" si="83"/>
        <v>0.241237418108048</v>
      </c>
      <c r="S105">
        <f t="shared" si="84"/>
        <v>0.49904966606285861</v>
      </c>
      <c r="U105" s="2">
        <f t="shared" si="97"/>
        <v>39995</v>
      </c>
      <c r="V105" t="s">
        <v>8</v>
      </c>
      <c r="W105">
        <f t="shared" si="93"/>
        <v>0.34012977135035599</v>
      </c>
      <c r="X105">
        <f t="shared" si="85"/>
        <v>0.2613881545470006</v>
      </c>
      <c r="Y105">
        <f t="shared" si="86"/>
        <v>0.34597403787431202</v>
      </c>
      <c r="Z105">
        <f t="shared" si="87"/>
        <v>0.73331300800368471</v>
      </c>
      <c r="AA105">
        <f t="shared" si="88"/>
        <v>0.13288650364384522</v>
      </c>
      <c r="AB105">
        <f t="shared" si="89"/>
        <v>5.8195491895437164E-2</v>
      </c>
      <c r="AC105">
        <f t="shared" si="90"/>
        <v>0.24905056919745069</v>
      </c>
      <c r="AE105" s="2">
        <f t="shared" si="98"/>
        <v>39995</v>
      </c>
      <c r="AF105" t="s">
        <v>8</v>
      </c>
      <c r="AG105">
        <f t="shared" ref="AG105:AM105" si="135">SQRT(AVERAGE(W94:W105))</f>
        <v>0.61263080794276281</v>
      </c>
      <c r="AH105">
        <f t="shared" si="135"/>
        <v>0.6568017889122979</v>
      </c>
      <c r="AI105">
        <f t="shared" si="135"/>
        <v>0.60452376419399523</v>
      </c>
      <c r="AJ105">
        <f t="shared" si="135"/>
        <v>0.71280924886137631</v>
      </c>
      <c r="AK105">
        <f t="shared" si="135"/>
        <v>0.83211050672698128</v>
      </c>
      <c r="AL105">
        <f t="shared" si="135"/>
        <v>0.88353204049460188</v>
      </c>
      <c r="AM105">
        <f t="shared" si="135"/>
        <v>0.70572289908210484</v>
      </c>
    </row>
    <row r="106" spans="1:39" x14ac:dyDescent="0.3">
      <c r="A106" s="2">
        <f t="shared" si="95"/>
        <v>40026</v>
      </c>
      <c r="B106">
        <v>0.33428597908793378</v>
      </c>
      <c r="C106">
        <v>-7.8829048873333113E-2</v>
      </c>
      <c r="D106">
        <v>4.0501348886738779E-2</v>
      </c>
      <c r="E106">
        <v>-0.1048585631571906</v>
      </c>
      <c r="F106">
        <v>-2.9800985515571199E-2</v>
      </c>
      <c r="G106">
        <v>0.33412236036892651</v>
      </c>
      <c r="H106">
        <v>0.52191949471753152</v>
      </c>
      <c r="I106">
        <v>4.5105973273673501E-2</v>
      </c>
      <c r="K106" s="2">
        <f t="shared" si="96"/>
        <v>40026</v>
      </c>
      <c r="L106" t="s">
        <v>8</v>
      </c>
      <c r="M106">
        <f t="shared" si="92"/>
        <v>0.41311502796126687</v>
      </c>
      <c r="N106">
        <f t="shared" si="79"/>
        <v>0.293784630201195</v>
      </c>
      <c r="O106">
        <f t="shared" si="80"/>
        <v>0.43914454224512439</v>
      </c>
      <c r="P106">
        <f t="shared" si="81"/>
        <v>0.36408696460350498</v>
      </c>
      <c r="Q106">
        <f t="shared" si="82"/>
        <v>1.6361871900727465E-4</v>
      </c>
      <c r="R106">
        <f t="shared" si="83"/>
        <v>0.18763351562959774</v>
      </c>
      <c r="S106">
        <f t="shared" si="84"/>
        <v>0.28918000581426029</v>
      </c>
      <c r="U106" s="2">
        <f t="shared" si="97"/>
        <v>40026</v>
      </c>
      <c r="V106" t="s">
        <v>8</v>
      </c>
      <c r="W106">
        <f t="shared" si="93"/>
        <v>0.1706640263274383</v>
      </c>
      <c r="X106">
        <f t="shared" si="85"/>
        <v>8.6309408942452898E-2</v>
      </c>
      <c r="Y106">
        <f t="shared" si="86"/>
        <v>0.19284792898367983</v>
      </c>
      <c r="Z106">
        <f t="shared" si="87"/>
        <v>0.13255931779419389</v>
      </c>
      <c r="AA106">
        <f t="shared" si="88"/>
        <v>2.6771085209581497E-8</v>
      </c>
      <c r="AB106">
        <f t="shared" si="89"/>
        <v>3.5206336187522495E-2</v>
      </c>
      <c r="AC106">
        <f t="shared" si="90"/>
        <v>8.3625075762735618E-2</v>
      </c>
      <c r="AE106" s="2">
        <f t="shared" si="98"/>
        <v>40026</v>
      </c>
      <c r="AF106" t="s">
        <v>8</v>
      </c>
      <c r="AG106">
        <f t="shared" ref="AG106:AM106" si="136">SQRT(AVERAGE(W95:W106))</f>
        <v>0.60919539392300437</v>
      </c>
      <c r="AH106">
        <f t="shared" si="136"/>
        <v>0.64895655083357984</v>
      </c>
      <c r="AI106">
        <f t="shared" si="136"/>
        <v>0.60300096030713912</v>
      </c>
      <c r="AJ106">
        <f t="shared" si="136"/>
        <v>0.67633519188634084</v>
      </c>
      <c r="AK106">
        <f t="shared" si="136"/>
        <v>0.81983226452079028</v>
      </c>
      <c r="AL106">
        <f t="shared" si="136"/>
        <v>0.85221310365230973</v>
      </c>
      <c r="AM106">
        <f t="shared" si="136"/>
        <v>0.68721939396053389</v>
      </c>
    </row>
    <row r="107" spans="1:39" x14ac:dyDescent="0.3">
      <c r="A107" s="2">
        <f t="shared" si="95"/>
        <v>40057</v>
      </c>
      <c r="B107">
        <v>0.1929025466836265</v>
      </c>
      <c r="C107">
        <v>0.30824448927967357</v>
      </c>
      <c r="D107">
        <v>0.23190013962535611</v>
      </c>
      <c r="E107">
        <v>0.32260424070168731</v>
      </c>
      <c r="F107">
        <v>0.33428597908793378</v>
      </c>
      <c r="G107">
        <v>0.33412263489697852</v>
      </c>
      <c r="H107">
        <v>0.12198148812802841</v>
      </c>
      <c r="I107">
        <v>0.29099108437767018</v>
      </c>
      <c r="K107" s="2">
        <f t="shared" si="96"/>
        <v>40057</v>
      </c>
      <c r="L107" t="s">
        <v>8</v>
      </c>
      <c r="M107">
        <f t="shared" si="92"/>
        <v>0.11534194259604708</v>
      </c>
      <c r="N107">
        <f t="shared" si="79"/>
        <v>3.8997592941729609E-2</v>
      </c>
      <c r="O107">
        <f t="shared" si="80"/>
        <v>0.12970169401806081</v>
      </c>
      <c r="P107">
        <f t="shared" si="81"/>
        <v>0.14138343240430729</v>
      </c>
      <c r="Q107">
        <f t="shared" si="82"/>
        <v>0.14122008821335202</v>
      </c>
      <c r="R107">
        <f t="shared" si="83"/>
        <v>7.092105855559809E-2</v>
      </c>
      <c r="S107">
        <f t="shared" si="84"/>
        <v>9.8088537694043687E-2</v>
      </c>
      <c r="U107" s="2">
        <f t="shared" si="97"/>
        <v>40057</v>
      </c>
      <c r="V107" t="s">
        <v>8</v>
      </c>
      <c r="W107">
        <f t="shared" si="93"/>
        <v>1.330376372182982E-2</v>
      </c>
      <c r="X107">
        <f t="shared" si="85"/>
        <v>1.5208122552488391E-3</v>
      </c>
      <c r="Y107">
        <f t="shared" si="86"/>
        <v>1.682252943115467E-2</v>
      </c>
      <c r="Z107">
        <f t="shared" si="87"/>
        <v>1.9989274958423328E-2</v>
      </c>
      <c r="AA107">
        <f t="shared" si="88"/>
        <v>1.9943113314986927E-2</v>
      </c>
      <c r="AB107">
        <f t="shared" si="89"/>
        <v>5.0297965466465731E-3</v>
      </c>
      <c r="AC107">
        <f t="shared" si="90"/>
        <v>9.6213612269558293E-3</v>
      </c>
      <c r="AE107" s="2">
        <f t="shared" si="98"/>
        <v>40057</v>
      </c>
      <c r="AF107" t="s">
        <v>8</v>
      </c>
      <c r="AG107">
        <f t="shared" ref="AG107:AM107" si="137">SQRT(AVERAGE(W96:W107))</f>
        <v>0.60977188389714776</v>
      </c>
      <c r="AH107">
        <f t="shared" si="137"/>
        <v>0.64894254634914028</v>
      </c>
      <c r="AI107">
        <f t="shared" si="137"/>
        <v>0.60382621070512332</v>
      </c>
      <c r="AJ107">
        <f t="shared" si="137"/>
        <v>0.67417745191414669</v>
      </c>
      <c r="AK107">
        <f t="shared" si="137"/>
        <v>0.81745741523427906</v>
      </c>
      <c r="AL107">
        <f t="shared" si="137"/>
        <v>0.84140804988031381</v>
      </c>
      <c r="AM107">
        <f t="shared" si="137"/>
        <v>0.68775007423519474</v>
      </c>
    </row>
    <row r="108" spans="1:39" x14ac:dyDescent="0.3">
      <c r="A108" s="2">
        <f t="shared" si="95"/>
        <v>40087</v>
      </c>
      <c r="B108">
        <v>0.29974349985852911</v>
      </c>
      <c r="C108">
        <v>0.1170693137740195</v>
      </c>
      <c r="D108">
        <v>0.2323716356743066</v>
      </c>
      <c r="E108">
        <v>0.1214744446514658</v>
      </c>
      <c r="F108">
        <v>0.1929025466836265</v>
      </c>
      <c r="G108">
        <v>0.33388608533548209</v>
      </c>
      <c r="H108">
        <v>0.34062320229159559</v>
      </c>
      <c r="I108">
        <v>0.18033070132712339</v>
      </c>
      <c r="K108" s="2">
        <f t="shared" si="96"/>
        <v>40087</v>
      </c>
      <c r="L108" t="s">
        <v>8</v>
      </c>
      <c r="M108">
        <f t="shared" si="92"/>
        <v>0.18267418608450961</v>
      </c>
      <c r="N108">
        <f t="shared" si="79"/>
        <v>6.7371864184222502E-2</v>
      </c>
      <c r="O108">
        <f t="shared" si="80"/>
        <v>0.17826905520706332</v>
      </c>
      <c r="P108">
        <f t="shared" si="81"/>
        <v>0.10684095317490261</v>
      </c>
      <c r="Q108">
        <f t="shared" si="82"/>
        <v>3.414258547695298E-2</v>
      </c>
      <c r="R108">
        <f t="shared" si="83"/>
        <v>4.0879702433066489E-2</v>
      </c>
      <c r="S108">
        <f t="shared" si="84"/>
        <v>0.11941279853140571</v>
      </c>
      <c r="U108" s="2">
        <f t="shared" si="97"/>
        <v>40087</v>
      </c>
      <c r="V108" t="s">
        <v>8</v>
      </c>
      <c r="W108">
        <f t="shared" si="93"/>
        <v>3.3369858261638047E-2</v>
      </c>
      <c r="X108">
        <f t="shared" si="85"/>
        <v>4.5389680836573224E-3</v>
      </c>
      <c r="Y108">
        <f t="shared" si="86"/>
        <v>3.1779856044418991E-2</v>
      </c>
      <c r="Z108">
        <f t="shared" si="87"/>
        <v>1.1414989275321731E-2</v>
      </c>
      <c r="AA108">
        <f t="shared" si="88"/>
        <v>1.1657161430510406E-3</v>
      </c>
      <c r="AB108">
        <f t="shared" si="89"/>
        <v>1.6711500710160623E-3</v>
      </c>
      <c r="AC108">
        <f t="shared" si="90"/>
        <v>1.4259416453102089E-2</v>
      </c>
      <c r="AE108" s="2">
        <f t="shared" si="98"/>
        <v>40087</v>
      </c>
      <c r="AF108" t="s">
        <v>8</v>
      </c>
      <c r="AG108">
        <f t="shared" ref="AG108:AM108" si="138">SQRT(AVERAGE(W97:W108))</f>
        <v>0.53884165307137744</v>
      </c>
      <c r="AH108">
        <f t="shared" si="138"/>
        <v>0.56856815933133587</v>
      </c>
      <c r="AI108">
        <f t="shared" si="138"/>
        <v>0.53117469794040473</v>
      </c>
      <c r="AJ108">
        <f t="shared" si="138"/>
        <v>0.61677466062170472</v>
      </c>
      <c r="AK108">
        <f t="shared" si="138"/>
        <v>0.73959202366363375</v>
      </c>
      <c r="AL108">
        <f t="shared" si="138"/>
        <v>0.77798338166054493</v>
      </c>
      <c r="AM108">
        <f t="shared" si="138"/>
        <v>0.60868141586943347</v>
      </c>
    </row>
    <row r="109" spans="1:39" x14ac:dyDescent="0.3">
      <c r="A109" s="2">
        <f t="shared" si="95"/>
        <v>40118</v>
      </c>
      <c r="B109">
        <v>0.33429965449309762</v>
      </c>
      <c r="C109">
        <v>0.22717434429339189</v>
      </c>
      <c r="D109">
        <v>0.26265982084133832</v>
      </c>
      <c r="E109">
        <v>0.22183390820485399</v>
      </c>
      <c r="F109">
        <v>0.29974349985852911</v>
      </c>
      <c r="G109">
        <v>0.33382899071093869</v>
      </c>
      <c r="H109">
        <v>0.31023499777858338</v>
      </c>
      <c r="I109">
        <v>0.28460831515184992</v>
      </c>
      <c r="K109" s="2">
        <f t="shared" si="96"/>
        <v>40118</v>
      </c>
      <c r="L109" t="s">
        <v>8</v>
      </c>
      <c r="M109">
        <f t="shared" si="92"/>
        <v>0.10712531019970573</v>
      </c>
      <c r="N109">
        <f t="shared" si="79"/>
        <v>7.1639833651759299E-2</v>
      </c>
      <c r="O109">
        <f t="shared" si="80"/>
        <v>0.11246574628824363</v>
      </c>
      <c r="P109">
        <f t="shared" si="81"/>
        <v>3.4556154634568514E-2</v>
      </c>
      <c r="Q109">
        <f t="shared" si="82"/>
        <v>4.7066378215893101E-4</v>
      </c>
      <c r="R109">
        <f t="shared" si="83"/>
        <v>2.4064656714514243E-2</v>
      </c>
      <c r="S109">
        <f t="shared" si="84"/>
        <v>4.9691339341247698E-2</v>
      </c>
      <c r="U109" s="2">
        <f t="shared" si="97"/>
        <v>40118</v>
      </c>
      <c r="V109" t="s">
        <v>8</v>
      </c>
      <c r="W109">
        <f t="shared" si="93"/>
        <v>1.1475832085383176E-2</v>
      </c>
      <c r="X109">
        <f t="shared" si="85"/>
        <v>5.1322657656517438E-3</v>
      </c>
      <c r="Y109">
        <f t="shared" si="86"/>
        <v>1.2648544088171586E-2</v>
      </c>
      <c r="Z109">
        <f t="shared" si="87"/>
        <v>1.1941278231282111E-3</v>
      </c>
      <c r="AA109">
        <f t="shared" si="88"/>
        <v>2.2152439583614965E-7</v>
      </c>
      <c r="AB109">
        <f t="shared" si="89"/>
        <v>5.7910770278741543E-4</v>
      </c>
      <c r="AC109">
        <f t="shared" si="90"/>
        <v>2.469229205527031E-3</v>
      </c>
      <c r="AE109" s="2">
        <f t="shared" si="98"/>
        <v>40118</v>
      </c>
      <c r="AF109" t="s">
        <v>8</v>
      </c>
      <c r="AG109">
        <f t="shared" ref="AG109:AM109" si="139">SQRT(AVERAGE(W98:W109))</f>
        <v>0.38491593920719613</v>
      </c>
      <c r="AH109">
        <f t="shared" si="139"/>
        <v>0.37117571737232818</v>
      </c>
      <c r="AI109">
        <f t="shared" si="139"/>
        <v>0.38066756977071425</v>
      </c>
      <c r="AJ109">
        <f t="shared" si="139"/>
        <v>0.55636303393058373</v>
      </c>
      <c r="AK109">
        <f t="shared" si="139"/>
        <v>0.41209654817947833</v>
      </c>
      <c r="AL109">
        <f t="shared" si="139"/>
        <v>0.48548853952595894</v>
      </c>
      <c r="AM109">
        <f t="shared" si="139"/>
        <v>0.37505684897186747</v>
      </c>
    </row>
    <row r="110" spans="1:39" x14ac:dyDescent="0.3">
      <c r="A110" s="2">
        <f t="shared" si="95"/>
        <v>40148</v>
      </c>
      <c r="B110">
        <v>5.2004115479764579E-2</v>
      </c>
      <c r="C110">
        <v>0.22247408612932101</v>
      </c>
      <c r="D110">
        <v>0.24024254294485589</v>
      </c>
      <c r="E110">
        <v>0.2180032792669056</v>
      </c>
      <c r="F110">
        <v>0.33429965449309762</v>
      </c>
      <c r="G110">
        <v>0.33382977646015771</v>
      </c>
      <c r="H110">
        <v>0.26997399372547942</v>
      </c>
      <c r="I110">
        <v>0.31513451799717562</v>
      </c>
      <c r="K110" s="2">
        <f t="shared" si="96"/>
        <v>40148</v>
      </c>
      <c r="L110" t="s">
        <v>8</v>
      </c>
      <c r="M110">
        <f t="shared" si="92"/>
        <v>0.17046997064955643</v>
      </c>
      <c r="N110">
        <f t="shared" si="79"/>
        <v>0.18823842746509131</v>
      </c>
      <c r="O110">
        <f t="shared" si="80"/>
        <v>0.16599916378714102</v>
      </c>
      <c r="P110">
        <f t="shared" si="81"/>
        <v>0.28229553901333304</v>
      </c>
      <c r="Q110">
        <f t="shared" si="82"/>
        <v>0.28182566098039313</v>
      </c>
      <c r="R110">
        <f t="shared" si="83"/>
        <v>0.21796987824571484</v>
      </c>
      <c r="S110">
        <f t="shared" si="84"/>
        <v>0.26313040251741104</v>
      </c>
      <c r="U110" s="2">
        <f t="shared" si="97"/>
        <v>40148</v>
      </c>
      <c r="V110" t="s">
        <v>8</v>
      </c>
      <c r="W110">
        <f t="shared" si="93"/>
        <v>2.9060010893260633E-2</v>
      </c>
      <c r="X110">
        <f t="shared" si="85"/>
        <v>3.543370557453044E-2</v>
      </c>
      <c r="Y110">
        <f t="shared" si="86"/>
        <v>2.755572237803007E-2</v>
      </c>
      <c r="Z110">
        <f t="shared" si="87"/>
        <v>7.969077134682824E-2</v>
      </c>
      <c r="AA110">
        <f t="shared" si="88"/>
        <v>7.9425703187035485E-2</v>
      </c>
      <c r="AB110">
        <f t="shared" si="89"/>
        <v>4.7510867822451751E-2</v>
      </c>
      <c r="AC110">
        <f t="shared" si="90"/>
        <v>6.9237608728974762E-2</v>
      </c>
      <c r="AE110" s="2">
        <f t="shared" si="98"/>
        <v>40148</v>
      </c>
      <c r="AF110" t="s">
        <v>8</v>
      </c>
      <c r="AG110">
        <f t="shared" ref="AG110:AM110" si="140">SQRT(AVERAGE(W99:W110))</f>
        <v>0.38567711728324355</v>
      </c>
      <c r="AH110">
        <f t="shared" si="140"/>
        <v>0.371680920768034</v>
      </c>
      <c r="AI110">
        <f t="shared" si="140"/>
        <v>0.38185840457331632</v>
      </c>
      <c r="AJ110">
        <f t="shared" si="140"/>
        <v>0.48932288751346686</v>
      </c>
      <c r="AK110">
        <f t="shared" si="140"/>
        <v>0.25198946329404237</v>
      </c>
      <c r="AL110">
        <f t="shared" si="140"/>
        <v>0.46722859984987786</v>
      </c>
      <c r="AM110">
        <f t="shared" si="140"/>
        <v>0.37691991705724703</v>
      </c>
    </row>
    <row r="111" spans="1:39" x14ac:dyDescent="0.3">
      <c r="A111" s="2">
        <f t="shared" si="95"/>
        <v>40179</v>
      </c>
      <c r="B111">
        <v>6.4852187584651944E-2</v>
      </c>
      <c r="C111">
        <v>0.2198094683527459</v>
      </c>
      <c r="D111">
        <v>0.2501681129720062</v>
      </c>
      <c r="E111">
        <v>0.21862960695212799</v>
      </c>
      <c r="F111">
        <v>5.2004115479764579E-2</v>
      </c>
      <c r="G111">
        <v>0.33336006702519028</v>
      </c>
      <c r="H111">
        <v>0.33133569978709743</v>
      </c>
      <c r="I111">
        <v>0.20214316313405789</v>
      </c>
      <c r="K111" s="2">
        <f t="shared" si="96"/>
        <v>40179</v>
      </c>
      <c r="L111" t="s">
        <v>8</v>
      </c>
      <c r="M111">
        <f t="shared" si="92"/>
        <v>0.15495728076809395</v>
      </c>
      <c r="N111">
        <f t="shared" si="79"/>
        <v>0.18531592538735425</v>
      </c>
      <c r="O111">
        <f t="shared" si="80"/>
        <v>0.15377741936747605</v>
      </c>
      <c r="P111">
        <f t="shared" si="81"/>
        <v>1.2848072104887365E-2</v>
      </c>
      <c r="Q111">
        <f t="shared" si="82"/>
        <v>0.26850787944053833</v>
      </c>
      <c r="R111">
        <f t="shared" si="83"/>
        <v>0.26648351220244548</v>
      </c>
      <c r="S111">
        <f t="shared" si="84"/>
        <v>0.13729097554940595</v>
      </c>
      <c r="U111" s="2">
        <f t="shared" si="97"/>
        <v>40179</v>
      </c>
      <c r="V111" t="s">
        <v>8</v>
      </c>
      <c r="W111">
        <f t="shared" si="93"/>
        <v>2.4011758863041899E-2</v>
      </c>
      <c r="X111">
        <f t="shared" si="85"/>
        <v>3.4341992202171448E-2</v>
      </c>
      <c r="Y111">
        <f t="shared" si="86"/>
        <v>2.3647494707320596E-2</v>
      </c>
      <c r="Z111">
        <f t="shared" si="87"/>
        <v>1.6507295681238485E-4</v>
      </c>
      <c r="AA111">
        <f t="shared" si="88"/>
        <v>7.2096481321654665E-2</v>
      </c>
      <c r="AB111">
        <f t="shared" si="89"/>
        <v>7.1013462275750908E-2</v>
      </c>
      <c r="AC111">
        <f t="shared" si="90"/>
        <v>1.8848811967307581E-2</v>
      </c>
      <c r="AE111" s="2">
        <f t="shared" si="98"/>
        <v>40179</v>
      </c>
      <c r="AF111" t="s">
        <v>8</v>
      </c>
      <c r="AG111">
        <f t="shared" ref="AG111:AM111" si="141">SQRT(AVERAGE(W100:W111))</f>
        <v>0.30949010710277181</v>
      </c>
      <c r="AH111">
        <f t="shared" si="141"/>
        <v>0.3126808436643152</v>
      </c>
      <c r="AI111">
        <f t="shared" si="141"/>
        <v>0.31195572913799152</v>
      </c>
      <c r="AJ111">
        <f t="shared" si="141"/>
        <v>0.37727628603547042</v>
      </c>
      <c r="AK111">
        <f t="shared" si="141"/>
        <v>0.26255852819981296</v>
      </c>
      <c r="AL111">
        <f t="shared" si="141"/>
        <v>0.3327591432898207</v>
      </c>
      <c r="AM111">
        <f t="shared" si="141"/>
        <v>0.28450095681084575</v>
      </c>
    </row>
    <row r="112" spans="1:39" x14ac:dyDescent="0.3">
      <c r="A112" s="2">
        <f t="shared" si="95"/>
        <v>40210</v>
      </c>
      <c r="B112">
        <v>-9.5222987674503656E-2</v>
      </c>
      <c r="C112">
        <v>0.27983653121634833</v>
      </c>
      <c r="D112">
        <v>0.28885903776618882</v>
      </c>
      <c r="E112">
        <v>0.28866568409357651</v>
      </c>
      <c r="F112">
        <v>6.4852187584651944E-2</v>
      </c>
      <c r="G112">
        <v>0.33291329850698642</v>
      </c>
      <c r="H112">
        <v>0.17238989149495551</v>
      </c>
      <c r="I112">
        <v>0.29818367977565929</v>
      </c>
      <c r="K112" s="2">
        <f t="shared" si="96"/>
        <v>40210</v>
      </c>
      <c r="L112" t="s">
        <v>8</v>
      </c>
      <c r="M112">
        <f t="shared" si="92"/>
        <v>0.37505951889085198</v>
      </c>
      <c r="N112">
        <f t="shared" si="79"/>
        <v>0.38408202544069248</v>
      </c>
      <c r="O112">
        <f t="shared" si="80"/>
        <v>0.38388867176808017</v>
      </c>
      <c r="P112">
        <f t="shared" si="81"/>
        <v>0.1600751752591556</v>
      </c>
      <c r="Q112">
        <f t="shared" si="82"/>
        <v>0.42813628618149008</v>
      </c>
      <c r="R112">
        <f t="shared" si="83"/>
        <v>0.26761287916945919</v>
      </c>
      <c r="S112">
        <f t="shared" si="84"/>
        <v>0.39340666745016295</v>
      </c>
      <c r="U112" s="2">
        <f t="shared" si="97"/>
        <v>40210</v>
      </c>
      <c r="V112" t="s">
        <v>8</v>
      </c>
      <c r="W112">
        <f t="shared" si="93"/>
        <v>0.14066964271063737</v>
      </c>
      <c r="X112">
        <f t="shared" si="85"/>
        <v>0.14751900226662473</v>
      </c>
      <c r="Y112">
        <f t="shared" si="86"/>
        <v>0.1473705123118608</v>
      </c>
      <c r="Z112">
        <f t="shared" si="87"/>
        <v>2.562406173424938E-2</v>
      </c>
      <c r="AA112">
        <f t="shared" si="88"/>
        <v>0.18330067954527876</v>
      </c>
      <c r="AB112">
        <f t="shared" si="89"/>
        <v>7.1616653097367561E-2</v>
      </c>
      <c r="AC112">
        <f t="shared" si="90"/>
        <v>0.15476880599424311</v>
      </c>
      <c r="AE112" s="2">
        <f t="shared" si="98"/>
        <v>40210</v>
      </c>
      <c r="AF112" t="s">
        <v>8</v>
      </c>
      <c r="AG112">
        <f t="shared" ref="AG112:AM112" si="142">SQRT(AVERAGE(W101:W112))</f>
        <v>0.32785284093398831</v>
      </c>
      <c r="AH112">
        <f t="shared" si="142"/>
        <v>0.31244784314711382</v>
      </c>
      <c r="AI112">
        <f t="shared" si="142"/>
        <v>0.33096576145755718</v>
      </c>
      <c r="AJ112">
        <f t="shared" si="142"/>
        <v>0.37874637544533857</v>
      </c>
      <c r="AK112">
        <f t="shared" si="142"/>
        <v>0.29007807805618258</v>
      </c>
      <c r="AL112">
        <f t="shared" si="142"/>
        <v>0.24626193295072701</v>
      </c>
      <c r="AM112">
        <f t="shared" si="142"/>
        <v>0.28885936924812367</v>
      </c>
    </row>
    <row r="113" spans="1:39" x14ac:dyDescent="0.3">
      <c r="A113" s="2">
        <f t="shared" si="95"/>
        <v>40238</v>
      </c>
      <c r="B113">
        <v>3.3131324589685818E-2</v>
      </c>
      <c r="C113">
        <v>-3.8145578197311042E-2</v>
      </c>
      <c r="D113">
        <v>5.4966546005343741E-3</v>
      </c>
      <c r="E113">
        <v>-6.0354962309965413E-2</v>
      </c>
      <c r="F113">
        <v>-9.5222987674503656E-2</v>
      </c>
      <c r="G113">
        <v>0.33220210866283112</v>
      </c>
      <c r="H113">
        <v>0.18424473883009251</v>
      </c>
      <c r="I113">
        <v>0.12984484887681261</v>
      </c>
      <c r="K113" s="2">
        <f t="shared" si="96"/>
        <v>40238</v>
      </c>
      <c r="L113" t="s">
        <v>8</v>
      </c>
      <c r="M113">
        <f t="shared" si="92"/>
        <v>7.127690278699686E-2</v>
      </c>
      <c r="N113">
        <f t="shared" si="79"/>
        <v>2.7634669989151442E-2</v>
      </c>
      <c r="O113">
        <f t="shared" si="80"/>
        <v>9.348628689965123E-2</v>
      </c>
      <c r="P113">
        <f t="shared" si="81"/>
        <v>0.12835431226418947</v>
      </c>
      <c r="Q113">
        <f t="shared" si="82"/>
        <v>0.2990707840731453</v>
      </c>
      <c r="R113">
        <f t="shared" si="83"/>
        <v>0.1511134142404067</v>
      </c>
      <c r="S113">
        <f t="shared" si="84"/>
        <v>9.671352428712679E-2</v>
      </c>
      <c r="U113" s="2">
        <f t="shared" si="97"/>
        <v>40238</v>
      </c>
      <c r="V113" t="s">
        <v>8</v>
      </c>
      <c r="W113">
        <f t="shared" si="93"/>
        <v>5.0803968709070011E-3</v>
      </c>
      <c r="X113">
        <f t="shared" si="85"/>
        <v>7.6367498540930731E-4</v>
      </c>
      <c r="Y113">
        <f t="shared" si="86"/>
        <v>8.7396858382839011E-3</v>
      </c>
      <c r="Z113">
        <f t="shared" si="87"/>
        <v>1.6474829476813061E-2</v>
      </c>
      <c r="AA113">
        <f t="shared" si="88"/>
        <v>8.9443333886125895E-2</v>
      </c>
      <c r="AB113">
        <f t="shared" si="89"/>
        <v>2.2835263963392749E-2</v>
      </c>
      <c r="AC113">
        <f t="shared" si="90"/>
        <v>9.3535057800366635E-3</v>
      </c>
      <c r="AE113" s="2">
        <f t="shared" si="98"/>
        <v>40238</v>
      </c>
      <c r="AF113" t="s">
        <v>8</v>
      </c>
      <c r="AG113">
        <f t="shared" ref="AG113:AM113" si="143">SQRT(AVERAGE(W102:W113))</f>
        <v>0.31681767741133782</v>
      </c>
      <c r="AH113">
        <f t="shared" si="143"/>
        <v>0.30956126674550249</v>
      </c>
      <c r="AI113">
        <f t="shared" si="143"/>
        <v>0.3221169656496306</v>
      </c>
      <c r="AJ113">
        <f t="shared" si="143"/>
        <v>0.35637809823990341</v>
      </c>
      <c r="AK113">
        <f t="shared" si="143"/>
        <v>0.27548738296423786</v>
      </c>
      <c r="AL113">
        <f t="shared" si="143"/>
        <v>0.24934044299289579</v>
      </c>
      <c r="AM113">
        <f t="shared" si="143"/>
        <v>0.2893704105133208</v>
      </c>
    </row>
    <row r="114" spans="1:39" x14ac:dyDescent="0.3">
      <c r="A114" s="2">
        <f t="shared" si="95"/>
        <v>40269</v>
      </c>
      <c r="B114">
        <v>2.300140778759285E-2</v>
      </c>
      <c r="C114">
        <v>0.1869348507163921</v>
      </c>
      <c r="D114">
        <v>0.25971117858647841</v>
      </c>
      <c r="E114">
        <v>0.19632005721501669</v>
      </c>
      <c r="F114">
        <v>3.3131324589685818E-2</v>
      </c>
      <c r="G114">
        <v>0.33170613721329018</v>
      </c>
      <c r="H114">
        <v>8.8894574412229171E-2</v>
      </c>
      <c r="I114">
        <v>0.24868951855550181</v>
      </c>
      <c r="K114" s="2">
        <f t="shared" si="96"/>
        <v>40269</v>
      </c>
      <c r="L114" t="s">
        <v>8</v>
      </c>
      <c r="M114">
        <f t="shared" si="92"/>
        <v>0.16393344292879924</v>
      </c>
      <c r="N114">
        <f t="shared" si="79"/>
        <v>0.23670977079888555</v>
      </c>
      <c r="O114">
        <f t="shared" si="80"/>
        <v>0.17331864942742384</v>
      </c>
      <c r="P114">
        <f t="shared" si="81"/>
        <v>1.0129916802092968E-2</v>
      </c>
      <c r="Q114">
        <f t="shared" si="82"/>
        <v>0.30870472942569732</v>
      </c>
      <c r="R114">
        <f t="shared" si="83"/>
        <v>6.5893166624636318E-2</v>
      </c>
      <c r="S114">
        <f t="shared" si="84"/>
        <v>0.22568811076790896</v>
      </c>
      <c r="U114" s="2">
        <f t="shared" si="97"/>
        <v>40269</v>
      </c>
      <c r="V114" t="s">
        <v>8</v>
      </c>
      <c r="W114">
        <f t="shared" si="93"/>
        <v>2.687417371048988E-2</v>
      </c>
      <c r="X114">
        <f t="shared" si="85"/>
        <v>5.6031515591660933E-2</v>
      </c>
      <c r="Y114">
        <f t="shared" si="86"/>
        <v>3.0039354239346245E-2</v>
      </c>
      <c r="Z114">
        <f t="shared" si="87"/>
        <v>1.0261521441732541E-4</v>
      </c>
      <c r="AA114">
        <f t="shared" si="88"/>
        <v>9.5298609969792988E-2</v>
      </c>
      <c r="AB114">
        <f t="shared" si="89"/>
        <v>4.3419094078220857E-3</v>
      </c>
      <c r="AC114">
        <f t="shared" si="90"/>
        <v>5.0935123341987944E-2</v>
      </c>
      <c r="AE114" s="2">
        <f t="shared" si="98"/>
        <v>40269</v>
      </c>
      <c r="AF114" t="s">
        <v>8</v>
      </c>
      <c r="AG114">
        <f t="shared" ref="AG114:AM114" si="144">SQRT(AVERAGE(W103:W114))</f>
        <v>0.3159674806757819</v>
      </c>
      <c r="AH114">
        <f t="shared" si="144"/>
        <v>0.29655379618901512</v>
      </c>
      <c r="AI114">
        <f t="shared" si="144"/>
        <v>0.3203056898703831</v>
      </c>
      <c r="AJ114">
        <f t="shared" si="144"/>
        <v>0.35170923486746808</v>
      </c>
      <c r="AK114">
        <f t="shared" si="144"/>
        <v>0.28155541112783089</v>
      </c>
      <c r="AL114">
        <f t="shared" si="144"/>
        <v>0.24825663093753592</v>
      </c>
      <c r="AM114">
        <f t="shared" si="144"/>
        <v>0.29451343220254605</v>
      </c>
    </row>
    <row r="115" spans="1:39" x14ac:dyDescent="0.3">
      <c r="A115" s="2">
        <f t="shared" si="95"/>
        <v>40299</v>
      </c>
      <c r="B115">
        <v>-5.1990716457517287E-2</v>
      </c>
      <c r="C115">
        <v>0.1614693627034183</v>
      </c>
      <c r="D115">
        <v>0.2049322986002485</v>
      </c>
      <c r="E115">
        <v>0.15821997999063939</v>
      </c>
      <c r="F115">
        <v>2.300140778759285E-2</v>
      </c>
      <c r="G115">
        <v>0.33119503666788352</v>
      </c>
      <c r="H115">
        <v>0.11245759430960239</v>
      </c>
      <c r="I115">
        <v>0.2245360519434226</v>
      </c>
      <c r="K115" s="2">
        <f t="shared" si="96"/>
        <v>40299</v>
      </c>
      <c r="L115" t="s">
        <v>8</v>
      </c>
      <c r="M115">
        <f t="shared" si="92"/>
        <v>0.2134600791609356</v>
      </c>
      <c r="N115">
        <f t="shared" si="79"/>
        <v>0.25692301505776577</v>
      </c>
      <c r="O115">
        <f t="shared" si="80"/>
        <v>0.21021069644815668</v>
      </c>
      <c r="P115">
        <f t="shared" si="81"/>
        <v>7.4992124245110134E-2</v>
      </c>
      <c r="Q115">
        <f t="shared" si="82"/>
        <v>0.38318575312540082</v>
      </c>
      <c r="R115">
        <f t="shared" si="83"/>
        <v>0.16444831076711969</v>
      </c>
      <c r="S115">
        <f t="shared" si="84"/>
        <v>0.27652676840093987</v>
      </c>
      <c r="U115" s="2">
        <f t="shared" si="97"/>
        <v>40299</v>
      </c>
      <c r="V115" t="s">
        <v>8</v>
      </c>
      <c r="W115">
        <f t="shared" si="93"/>
        <v>4.556520539539289E-2</v>
      </c>
      <c r="X115">
        <f t="shared" si="85"/>
        <v>6.6009435666372934E-2</v>
      </c>
      <c r="Y115">
        <f t="shared" si="86"/>
        <v>4.4188536901219072E-2</v>
      </c>
      <c r="Z115">
        <f t="shared" si="87"/>
        <v>5.6238186987940348E-3</v>
      </c>
      <c r="AA115">
        <f t="shared" si="88"/>
        <v>0.14683132139828062</v>
      </c>
      <c r="AB115">
        <f t="shared" si="89"/>
        <v>2.7043246914159172E-2</v>
      </c>
      <c r="AC115">
        <f t="shared" si="90"/>
        <v>7.6467053642267038E-2</v>
      </c>
      <c r="AE115" s="2">
        <f t="shared" si="98"/>
        <v>40299</v>
      </c>
      <c r="AF115" t="s">
        <v>8</v>
      </c>
      <c r="AG115">
        <f t="shared" ref="AG115:AM115" si="145">SQRT(AVERAGE(W104:W115))</f>
        <v>0.3196141477568194</v>
      </c>
      <c r="AH115">
        <f t="shared" si="145"/>
        <v>0.30390187122988249</v>
      </c>
      <c r="AI115">
        <f t="shared" si="145"/>
        <v>0.32407026886890217</v>
      </c>
      <c r="AJ115">
        <f t="shared" si="145"/>
        <v>0.35212036361376431</v>
      </c>
      <c r="AK115">
        <f t="shared" si="145"/>
        <v>0.29764020879331421</v>
      </c>
      <c r="AL115">
        <f t="shared" si="145"/>
        <v>0.24725322836380589</v>
      </c>
      <c r="AM115">
        <f t="shared" si="145"/>
        <v>0.30513419388723645</v>
      </c>
    </row>
    <row r="116" spans="1:39" x14ac:dyDescent="0.3">
      <c r="A116" s="2">
        <f t="shared" si="95"/>
        <v>40330</v>
      </c>
      <c r="B116">
        <v>-4.1888287772806621E-2</v>
      </c>
      <c r="C116">
        <v>-4.1256266600634028E-2</v>
      </c>
      <c r="D116">
        <v>2.2761640137169178E-2</v>
      </c>
      <c r="E116">
        <v>-5.7160179782783233E-2</v>
      </c>
      <c r="F116">
        <v>-5.1990716457517287E-2</v>
      </c>
      <c r="G116">
        <v>0.33056167178668439</v>
      </c>
      <c r="H116">
        <v>0.1036238166093125</v>
      </c>
      <c r="I116">
        <v>0.1557004828914359</v>
      </c>
      <c r="K116" s="2">
        <f t="shared" si="96"/>
        <v>40330</v>
      </c>
      <c r="L116" t="s">
        <v>8</v>
      </c>
      <c r="M116">
        <f t="shared" si="92"/>
        <v>6.3202117217259213E-4</v>
      </c>
      <c r="N116">
        <f t="shared" si="79"/>
        <v>6.4649927909975799E-2</v>
      </c>
      <c r="O116">
        <f t="shared" si="80"/>
        <v>1.5271892009976612E-2</v>
      </c>
      <c r="P116">
        <f t="shared" si="81"/>
        <v>1.0102428684710667E-2</v>
      </c>
      <c r="Q116">
        <f t="shared" si="82"/>
        <v>0.37244995955949101</v>
      </c>
      <c r="R116">
        <f t="shared" si="83"/>
        <v>0.14551210438211912</v>
      </c>
      <c r="S116">
        <f t="shared" si="84"/>
        <v>0.19758877066424252</v>
      </c>
      <c r="U116" s="2">
        <f t="shared" si="97"/>
        <v>40330</v>
      </c>
      <c r="V116" t="s">
        <v>8</v>
      </c>
      <c r="W116">
        <f t="shared" si="93"/>
        <v>3.9945076207441735E-7</v>
      </c>
      <c r="X116">
        <f t="shared" si="85"/>
        <v>4.1796131787650674E-3</v>
      </c>
      <c r="Y116">
        <f t="shared" si="86"/>
        <v>2.3323068556438747E-4</v>
      </c>
      <c r="Z116">
        <f t="shared" si="87"/>
        <v>1.0205906532966489E-4</v>
      </c>
      <c r="AA116">
        <f t="shared" si="88"/>
        <v>0.13871897237586647</v>
      </c>
      <c r="AB116">
        <f t="shared" si="89"/>
        <v>2.1173772521712729E-2</v>
      </c>
      <c r="AC116">
        <f t="shared" si="90"/>
        <v>3.9041322292606623E-2</v>
      </c>
      <c r="AE116" s="2">
        <f t="shared" si="98"/>
        <v>40330</v>
      </c>
      <c r="AF116" t="s">
        <v>8</v>
      </c>
      <c r="AG116">
        <f t="shared" ref="AG116:AM116" si="146">SQRT(AVERAGE(W105:W116))</f>
        <v>0.26460738835129821</v>
      </c>
      <c r="AH116">
        <f t="shared" si="146"/>
        <v>0.24206895523444455</v>
      </c>
      <c r="AI116">
        <f t="shared" si="146"/>
        <v>0.2710853853006715</v>
      </c>
      <c r="AJ116">
        <f t="shared" si="146"/>
        <v>0.29244001469646097</v>
      </c>
      <c r="AK116">
        <f t="shared" si="146"/>
        <v>0.28271167336490238</v>
      </c>
      <c r="AL116">
        <f t="shared" si="146"/>
        <v>0.17469427065735602</v>
      </c>
      <c r="AM116">
        <f t="shared" si="146"/>
        <v>0.25457118906002091</v>
      </c>
    </row>
    <row r="117" spans="1:39" x14ac:dyDescent="0.3">
      <c r="A117" s="2">
        <f t="shared" si="95"/>
        <v>40360</v>
      </c>
      <c r="B117">
        <v>0.18675086613582079</v>
      </c>
      <c r="C117">
        <v>8.9134363203752842E-2</v>
      </c>
      <c r="D117">
        <v>0.1192348226230896</v>
      </c>
      <c r="E117">
        <v>0.1020386776355154</v>
      </c>
      <c r="F117">
        <v>-4.1888287772806621E-2</v>
      </c>
      <c r="G117">
        <v>0.32994706789302192</v>
      </c>
      <c r="H117">
        <v>4.7587138650223043E-2</v>
      </c>
      <c r="I117">
        <v>0.1868192327879902</v>
      </c>
      <c r="K117" s="2">
        <f t="shared" si="96"/>
        <v>40360</v>
      </c>
      <c r="L117" t="s">
        <v>8</v>
      </c>
      <c r="M117">
        <f t="shared" si="92"/>
        <v>9.7616502932067944E-2</v>
      </c>
      <c r="N117">
        <f t="shared" si="79"/>
        <v>6.7516043512731189E-2</v>
      </c>
      <c r="O117">
        <f t="shared" si="80"/>
        <v>8.4712188500305388E-2</v>
      </c>
      <c r="P117">
        <f t="shared" si="81"/>
        <v>0.22863915390862741</v>
      </c>
      <c r="Q117">
        <f t="shared" si="82"/>
        <v>0.14319620175720113</v>
      </c>
      <c r="R117">
        <f t="shared" si="83"/>
        <v>0.13916372748559774</v>
      </c>
      <c r="S117">
        <f t="shared" si="84"/>
        <v>6.8366652169415953E-5</v>
      </c>
      <c r="U117" s="2">
        <f t="shared" si="97"/>
        <v>40360</v>
      </c>
      <c r="V117" t="s">
        <v>8</v>
      </c>
      <c r="W117">
        <f t="shared" si="93"/>
        <v>9.5289816446864298E-3</v>
      </c>
      <c r="X117">
        <f t="shared" si="85"/>
        <v>4.5584161316130113E-3</v>
      </c>
      <c r="Y117">
        <f t="shared" si="86"/>
        <v>7.1761548805112721E-3</v>
      </c>
      <c r="Z117">
        <f t="shared" si="87"/>
        <v>5.2275862700053008E-2</v>
      </c>
      <c r="AA117">
        <f t="shared" si="88"/>
        <v>2.0505152197689051E-2</v>
      </c>
      <c r="AB117">
        <f t="shared" si="89"/>
        <v>1.9366543047685713E-2</v>
      </c>
      <c r="AC117">
        <f t="shared" si="90"/>
        <v>4.6739991288539068E-9</v>
      </c>
      <c r="AE117" s="2">
        <f t="shared" si="98"/>
        <v>40360</v>
      </c>
      <c r="AF117" t="s">
        <v>8</v>
      </c>
      <c r="AG117">
        <f t="shared" ref="AG117:AM117" si="147">SQRT(AVERAGE(W106:W117))</f>
        <v>0.20607523907856801</v>
      </c>
      <c r="AH117">
        <f t="shared" si="147"/>
        <v>0.19285979593220881</v>
      </c>
      <c r="AI117">
        <f t="shared" si="147"/>
        <v>0.21273017935277411</v>
      </c>
      <c r="AJ117">
        <f t="shared" si="147"/>
        <v>0.16961151716112036</v>
      </c>
      <c r="AK117">
        <f t="shared" si="147"/>
        <v>0.26563278720118538</v>
      </c>
      <c r="AL117">
        <f t="shared" si="147"/>
        <v>0.16517367363836447</v>
      </c>
      <c r="AM117">
        <f t="shared" si="147"/>
        <v>0.20988634207385981</v>
      </c>
    </row>
    <row r="118" spans="1:39" x14ac:dyDescent="0.3">
      <c r="A118" s="2">
        <f t="shared" si="95"/>
        <v>40391</v>
      </c>
      <c r="B118">
        <v>0.14602967272390191</v>
      </c>
      <c r="C118">
        <v>4.2381211380809053E-2</v>
      </c>
      <c r="D118">
        <v>0.1000048749422843</v>
      </c>
      <c r="E118">
        <v>3.7443782733208628E-2</v>
      </c>
      <c r="F118">
        <v>0.18675086613582079</v>
      </c>
      <c r="G118">
        <v>0.32971115981763938</v>
      </c>
      <c r="H118">
        <v>6.8417830503441468E-2</v>
      </c>
      <c r="I118">
        <v>0.231242338847198</v>
      </c>
      <c r="K118" s="2">
        <f t="shared" si="96"/>
        <v>40391</v>
      </c>
      <c r="L118" t="s">
        <v>8</v>
      </c>
      <c r="M118">
        <f t="shared" si="92"/>
        <v>0.10364846134309286</v>
      </c>
      <c r="N118">
        <f t="shared" si="79"/>
        <v>4.602479778161761E-2</v>
      </c>
      <c r="O118">
        <f t="shared" si="80"/>
        <v>0.10858588999069328</v>
      </c>
      <c r="P118">
        <f t="shared" si="81"/>
        <v>4.0721193411918877E-2</v>
      </c>
      <c r="Q118">
        <f t="shared" si="82"/>
        <v>0.18368148709373747</v>
      </c>
      <c r="R118">
        <f t="shared" si="83"/>
        <v>7.7611842220460442E-2</v>
      </c>
      <c r="S118">
        <f t="shared" si="84"/>
        <v>8.5212666123296088E-2</v>
      </c>
      <c r="U118" s="2">
        <f t="shared" si="97"/>
        <v>40391</v>
      </c>
      <c r="V118" t="s">
        <v>8</v>
      </c>
      <c r="W118">
        <f t="shared" si="93"/>
        <v>1.0743003538790614E-2</v>
      </c>
      <c r="X118">
        <f t="shared" si="85"/>
        <v>2.1182820108387934E-3</v>
      </c>
      <c r="Y118">
        <f t="shared" si="86"/>
        <v>1.1790895505070944E-2</v>
      </c>
      <c r="Z118">
        <f t="shared" si="87"/>
        <v>1.6582155928909054E-3</v>
      </c>
      <c r="AA118">
        <f t="shared" si="88"/>
        <v>3.3738888700966842E-2</v>
      </c>
      <c r="AB118">
        <f t="shared" si="89"/>
        <v>6.0235980528536457E-3</v>
      </c>
      <c r="AC118">
        <f t="shared" si="90"/>
        <v>7.2611984678403324E-3</v>
      </c>
      <c r="AE118" s="2">
        <f t="shared" si="98"/>
        <v>40391</v>
      </c>
      <c r="AF118" t="s">
        <v>8</v>
      </c>
      <c r="AG118">
        <f t="shared" ref="AG118:AM118" si="148">SQRT(AVERAGE(W107:W118))</f>
        <v>0.17070516179142031</v>
      </c>
      <c r="AH118">
        <f t="shared" si="148"/>
        <v>0.17372096489114966</v>
      </c>
      <c r="AI118">
        <f t="shared" si="148"/>
        <v>0.17368374444445295</v>
      </c>
      <c r="AJ118">
        <f t="shared" si="148"/>
        <v>0.1336399699575509</v>
      </c>
      <c r="AK118">
        <f t="shared" si="148"/>
        <v>0.27087330888029626</v>
      </c>
      <c r="AL118">
        <f t="shared" si="148"/>
        <v>0.15764024745805622</v>
      </c>
      <c r="AM118">
        <f t="shared" si="148"/>
        <v>0.19413557156766509</v>
      </c>
    </row>
    <row r="119" spans="1:39" x14ac:dyDescent="0.3">
      <c r="A119" s="2">
        <f t="shared" si="95"/>
        <v>40422</v>
      </c>
      <c r="B119">
        <v>0.16139463106572549</v>
      </c>
      <c r="C119">
        <v>4.5602591191822001E-2</v>
      </c>
      <c r="D119">
        <v>0.14958165754594649</v>
      </c>
      <c r="E119">
        <v>3.1939892632753812E-2</v>
      </c>
      <c r="F119">
        <v>0.14602967272390191</v>
      </c>
      <c r="G119">
        <v>0.32940905210860372</v>
      </c>
      <c r="H119">
        <v>0.18372273595133179</v>
      </c>
      <c r="I119">
        <v>0.2030782507703276</v>
      </c>
      <c r="K119" s="2">
        <f t="shared" si="96"/>
        <v>40422</v>
      </c>
      <c r="L119" t="s">
        <v>8</v>
      </c>
      <c r="M119">
        <f t="shared" si="92"/>
        <v>0.11579203987390349</v>
      </c>
      <c r="N119">
        <f t="shared" si="79"/>
        <v>1.1812973519779002E-2</v>
      </c>
      <c r="O119">
        <f t="shared" si="80"/>
        <v>0.12945473843297167</v>
      </c>
      <c r="P119">
        <f t="shared" si="81"/>
        <v>1.5364958341823581E-2</v>
      </c>
      <c r="Q119">
        <f t="shared" si="82"/>
        <v>0.16801442104287823</v>
      </c>
      <c r="R119">
        <f t="shared" si="83"/>
        <v>2.2328104885606298E-2</v>
      </c>
      <c r="S119">
        <f t="shared" si="84"/>
        <v>4.1683619704602104E-2</v>
      </c>
      <c r="U119" s="2">
        <f t="shared" si="97"/>
        <v>40422</v>
      </c>
      <c r="V119" t="s">
        <v>8</v>
      </c>
      <c r="W119">
        <f t="shared" si="93"/>
        <v>1.3407796498159655E-2</v>
      </c>
      <c r="X119">
        <f t="shared" si="85"/>
        <v>1.395463433789999E-4</v>
      </c>
      <c r="Y119">
        <f t="shared" si="86"/>
        <v>1.6758529302749112E-2</v>
      </c>
      <c r="Z119">
        <f t="shared" si="87"/>
        <v>2.3608194484597405E-4</v>
      </c>
      <c r="AA119">
        <f t="shared" si="88"/>
        <v>2.8228845678373561E-2</v>
      </c>
      <c r="AB119">
        <f t="shared" si="89"/>
        <v>4.9854426778263587E-4</v>
      </c>
      <c r="AC119">
        <f t="shared" si="90"/>
        <v>1.7375241516778927E-3</v>
      </c>
      <c r="AE119" s="2">
        <f t="shared" si="98"/>
        <v>40422</v>
      </c>
      <c r="AF119" t="s">
        <v>8</v>
      </c>
      <c r="AG119">
        <f t="shared" ref="AG119:AM119" si="149">SQRT(AVERAGE(W108:W119))</f>
        <v>0.17073055280254459</v>
      </c>
      <c r="AH119">
        <f t="shared" si="149"/>
        <v>0.17338935420047052</v>
      </c>
      <c r="AI119">
        <f t="shared" si="149"/>
        <v>0.17366839015840577</v>
      </c>
      <c r="AJ119">
        <f t="shared" si="149"/>
        <v>0.12733240809965463</v>
      </c>
      <c r="AK119">
        <f t="shared" si="149"/>
        <v>0.27214486429236406</v>
      </c>
      <c r="AL119">
        <f t="shared" si="149"/>
        <v>0.1564379853554283</v>
      </c>
      <c r="AM119">
        <f t="shared" si="149"/>
        <v>0.19243605100127206</v>
      </c>
    </row>
    <row r="120" spans="1:39" x14ac:dyDescent="0.3">
      <c r="A120" s="2">
        <f t="shared" si="95"/>
        <v>40452</v>
      </c>
      <c r="B120">
        <v>0.3475798701795263</v>
      </c>
      <c r="C120">
        <v>2.8700618760257261E-2</v>
      </c>
      <c r="D120">
        <v>0.18596635124197239</v>
      </c>
      <c r="E120">
        <v>2.9857724671358589E-2</v>
      </c>
      <c r="F120">
        <v>0.16139463106572549</v>
      </c>
      <c r="G120">
        <v>0.32913316635976481</v>
      </c>
      <c r="H120">
        <v>0.16021488344366669</v>
      </c>
      <c r="I120">
        <v>0.2059928584862197</v>
      </c>
      <c r="K120" s="2">
        <f t="shared" si="96"/>
        <v>40452</v>
      </c>
      <c r="L120" t="s">
        <v>8</v>
      </c>
      <c r="M120">
        <f t="shared" si="92"/>
        <v>0.31887925141926904</v>
      </c>
      <c r="N120">
        <f t="shared" si="79"/>
        <v>0.16161351893755391</v>
      </c>
      <c r="O120">
        <f t="shared" si="80"/>
        <v>0.31772214550816769</v>
      </c>
      <c r="P120">
        <f t="shared" si="81"/>
        <v>0.1861852391138008</v>
      </c>
      <c r="Q120">
        <f t="shared" si="82"/>
        <v>1.844670381976149E-2</v>
      </c>
      <c r="R120">
        <f t="shared" si="83"/>
        <v>0.18736498673585961</v>
      </c>
      <c r="S120">
        <f t="shared" si="84"/>
        <v>0.14158701169330659</v>
      </c>
      <c r="U120" s="2">
        <f t="shared" si="97"/>
        <v>40452</v>
      </c>
      <c r="V120" t="s">
        <v>8</v>
      </c>
      <c r="W120">
        <f t="shared" si="93"/>
        <v>0.1016839769857134</v>
      </c>
      <c r="X120">
        <f t="shared" si="85"/>
        <v>2.6118929503379094E-2</v>
      </c>
      <c r="Y120">
        <f t="shared" si="86"/>
        <v>0.10094736174631327</v>
      </c>
      <c r="Z120">
        <f t="shared" si="87"/>
        <v>3.4664943263863178E-2</v>
      </c>
      <c r="AA120">
        <f t="shared" si="88"/>
        <v>3.4028088181400315E-4</v>
      </c>
      <c r="AB120">
        <f t="shared" si="89"/>
        <v>3.5105638254528844E-2</v>
      </c>
      <c r="AC120">
        <f t="shared" si="90"/>
        <v>2.0046881880240536E-2</v>
      </c>
      <c r="AE120" s="2">
        <f t="shared" si="98"/>
        <v>40452</v>
      </c>
      <c r="AF120" t="s">
        <v>8</v>
      </c>
      <c r="AG120">
        <f t="shared" ref="AG120:AM120" si="150">SQRT(AVERAGE(W109:W120))</f>
        <v>0.18665948914338309</v>
      </c>
      <c r="AH120">
        <f t="shared" si="150"/>
        <v>0.17849985509340441</v>
      </c>
      <c r="AI120">
        <f t="shared" si="150"/>
        <v>0.18953803984610437</v>
      </c>
      <c r="AJ120">
        <f t="shared" si="150"/>
        <v>0.13472578935812096</v>
      </c>
      <c r="AK120">
        <f t="shared" si="150"/>
        <v>0.27201845689022558</v>
      </c>
      <c r="AL120">
        <f t="shared" si="150"/>
        <v>0.16510315142568072</v>
      </c>
      <c r="AM120">
        <f t="shared" si="150"/>
        <v>0.19368511174212397</v>
      </c>
    </row>
    <row r="121" spans="1:39" x14ac:dyDescent="0.3">
      <c r="A121" s="2">
        <f t="shared" si="95"/>
        <v>40483</v>
      </c>
      <c r="B121">
        <v>0.25306368592339368</v>
      </c>
      <c r="C121">
        <v>0.2311478136602472</v>
      </c>
      <c r="D121">
        <v>0.30033540565007971</v>
      </c>
      <c r="E121">
        <v>0.2315401475163143</v>
      </c>
      <c r="F121">
        <v>0.3475798701795263</v>
      </c>
      <c r="G121">
        <v>0.32916340685783002</v>
      </c>
      <c r="H121">
        <v>0.1815424866624637</v>
      </c>
      <c r="I121">
        <v>0.26084435505762238</v>
      </c>
      <c r="K121" s="2">
        <f t="shared" si="96"/>
        <v>40483</v>
      </c>
      <c r="L121" t="s">
        <v>8</v>
      </c>
      <c r="M121">
        <f t="shared" si="92"/>
        <v>2.191587226314648E-2</v>
      </c>
      <c r="N121">
        <f t="shared" si="79"/>
        <v>4.7271719726686035E-2</v>
      </c>
      <c r="O121">
        <f t="shared" si="80"/>
        <v>2.1523538407079379E-2</v>
      </c>
      <c r="P121">
        <f t="shared" si="81"/>
        <v>9.4516184256132618E-2</v>
      </c>
      <c r="Q121">
        <f t="shared" si="82"/>
        <v>7.6099720934436343E-2</v>
      </c>
      <c r="R121">
        <f t="shared" si="83"/>
        <v>7.152119926092998E-2</v>
      </c>
      <c r="S121">
        <f t="shared" si="84"/>
        <v>7.7806691342287015E-3</v>
      </c>
      <c r="U121" s="2">
        <f t="shared" si="97"/>
        <v>40483</v>
      </c>
      <c r="V121" t="s">
        <v>8</v>
      </c>
      <c r="W121">
        <f t="shared" si="93"/>
        <v>4.8030545705455321E-4</v>
      </c>
      <c r="X121">
        <f t="shared" si="85"/>
        <v>2.2346154859183578E-3</v>
      </c>
      <c r="Y121">
        <f t="shared" si="86"/>
        <v>4.632627055610211E-4</v>
      </c>
      <c r="Z121">
        <f t="shared" si="87"/>
        <v>8.9333090863392122E-3</v>
      </c>
      <c r="AA121">
        <f t="shared" si="88"/>
        <v>5.7911675262990892E-3</v>
      </c>
      <c r="AB121">
        <f t="shared" si="89"/>
        <v>5.1152819437216513E-3</v>
      </c>
      <c r="AC121">
        <f t="shared" si="90"/>
        <v>6.0538812176339212E-5</v>
      </c>
      <c r="AE121" s="2">
        <f t="shared" si="98"/>
        <v>40483</v>
      </c>
      <c r="AF121" t="s">
        <v>8</v>
      </c>
      <c r="AG121">
        <f t="shared" ref="AG121:AM121" si="151">SQRT(AVERAGE(W110:W121))</f>
        <v>0.18418868315283299</v>
      </c>
      <c r="AH121">
        <f t="shared" si="151"/>
        <v>0.1778221791895542</v>
      </c>
      <c r="AI121">
        <f t="shared" si="151"/>
        <v>0.1868401146260778</v>
      </c>
      <c r="AJ121">
        <f t="shared" si="151"/>
        <v>0.1370983956510908</v>
      </c>
      <c r="AK121">
        <f t="shared" si="151"/>
        <v>0.27290404856365075</v>
      </c>
      <c r="AL121">
        <f t="shared" si="151"/>
        <v>0.16624399276596166</v>
      </c>
      <c r="AM121">
        <f t="shared" si="151"/>
        <v>0.19316624526845563</v>
      </c>
    </row>
    <row r="122" spans="1:39" x14ac:dyDescent="0.3">
      <c r="A122" s="2">
        <f t="shared" si="95"/>
        <v>40513</v>
      </c>
      <c r="B122">
        <v>0.40085314388491611</v>
      </c>
      <c r="C122">
        <v>0.22008522124765201</v>
      </c>
      <c r="D122">
        <v>0.22448951399552061</v>
      </c>
      <c r="E122">
        <v>0.2120112968781597</v>
      </c>
      <c r="F122">
        <v>0.25306368592339368</v>
      </c>
      <c r="G122">
        <v>0.32903885739639882</v>
      </c>
      <c r="H122">
        <v>0.30954097217862081</v>
      </c>
      <c r="I122">
        <v>0.25968458187663579</v>
      </c>
      <c r="K122" s="2">
        <f t="shared" si="96"/>
        <v>40513</v>
      </c>
      <c r="L122" t="s">
        <v>8</v>
      </c>
      <c r="M122">
        <f t="shared" si="92"/>
        <v>0.1807679226372641</v>
      </c>
      <c r="N122">
        <f t="shared" si="79"/>
        <v>0.1763636298893955</v>
      </c>
      <c r="O122">
        <f t="shared" si="80"/>
        <v>0.18884184700675641</v>
      </c>
      <c r="P122">
        <f t="shared" si="81"/>
        <v>0.14778945796152243</v>
      </c>
      <c r="Q122">
        <f t="shared" si="82"/>
        <v>7.1814286488517287E-2</v>
      </c>
      <c r="R122">
        <f t="shared" si="83"/>
        <v>9.1312171706295298E-2</v>
      </c>
      <c r="S122">
        <f t="shared" si="84"/>
        <v>0.14116856200828032</v>
      </c>
      <c r="U122" s="2">
        <f t="shared" si="97"/>
        <v>40513</v>
      </c>
      <c r="V122" t="s">
        <v>8</v>
      </c>
      <c r="W122">
        <f t="shared" si="93"/>
        <v>3.2677041854591901E-2</v>
      </c>
      <c r="X122">
        <f t="shared" si="85"/>
        <v>3.1104129947763678E-2</v>
      </c>
      <c r="Y122">
        <f t="shared" si="86"/>
        <v>3.5661243180923195E-2</v>
      </c>
      <c r="Z122">
        <f t="shared" si="87"/>
        <v>2.1841723884560606E-2</v>
      </c>
      <c r="AA122">
        <f t="shared" si="88"/>
        <v>5.1572917438548367E-3</v>
      </c>
      <c r="AB122">
        <f t="shared" si="89"/>
        <v>8.3379127017199559E-3</v>
      </c>
      <c r="AC122">
        <f t="shared" si="90"/>
        <v>1.9928562899485684E-2</v>
      </c>
      <c r="AE122" s="2">
        <f t="shared" si="98"/>
        <v>40513</v>
      </c>
      <c r="AF122" t="s">
        <v>8</v>
      </c>
      <c r="AG122">
        <f t="shared" ref="AG122:AM122" si="152">SQRT(AVERAGE(W111:W122))</f>
        <v>0.18500510870879297</v>
      </c>
      <c r="AH122">
        <f t="shared" si="152"/>
        <v>0.1768047777714864</v>
      </c>
      <c r="AI122">
        <f t="shared" si="152"/>
        <v>0.18863904288453559</v>
      </c>
      <c r="AJ122">
        <f t="shared" si="152"/>
        <v>0.11821681832511845</v>
      </c>
      <c r="AK122">
        <f t="shared" si="152"/>
        <v>0.26131893432260078</v>
      </c>
      <c r="AL122">
        <f t="shared" si="152"/>
        <v>0.15611743081424787</v>
      </c>
      <c r="AM122">
        <f t="shared" si="152"/>
        <v>0.18221995269085034</v>
      </c>
    </row>
    <row r="123" spans="1:39" x14ac:dyDescent="0.3">
      <c r="A123" s="2">
        <f t="shared" si="95"/>
        <v>40544</v>
      </c>
      <c r="B123">
        <v>0.32377948808059998</v>
      </c>
      <c r="C123">
        <v>0.26146795569318471</v>
      </c>
      <c r="D123">
        <v>0.26584572034996701</v>
      </c>
      <c r="E123">
        <v>0.25658804700391141</v>
      </c>
      <c r="F123">
        <v>0.40085314388491611</v>
      </c>
      <c r="G123">
        <v>0.32915620100177218</v>
      </c>
      <c r="H123">
        <v>0.26179309194956912</v>
      </c>
      <c r="I123">
        <v>0.30269271478611148</v>
      </c>
      <c r="K123" s="2">
        <f t="shared" si="96"/>
        <v>40544</v>
      </c>
      <c r="L123" t="s">
        <v>8</v>
      </c>
      <c r="M123">
        <f t="shared" si="92"/>
        <v>6.2311532387415269E-2</v>
      </c>
      <c r="N123">
        <f t="shared" si="79"/>
        <v>5.7933767730632968E-2</v>
      </c>
      <c r="O123">
        <f t="shared" si="80"/>
        <v>6.7191441076688563E-2</v>
      </c>
      <c r="P123">
        <f t="shared" si="81"/>
        <v>7.7073655804316132E-2</v>
      </c>
      <c r="Q123">
        <f t="shared" si="82"/>
        <v>5.3767129211721998E-3</v>
      </c>
      <c r="R123">
        <f t="shared" si="83"/>
        <v>6.1986396131030852E-2</v>
      </c>
      <c r="S123">
        <f t="shared" si="84"/>
        <v>2.1086773294488492E-2</v>
      </c>
      <c r="U123" s="2">
        <f t="shared" si="97"/>
        <v>40544</v>
      </c>
      <c r="V123" t="s">
        <v>8</v>
      </c>
      <c r="W123">
        <f t="shared" si="93"/>
        <v>3.8827270684679022E-3</v>
      </c>
      <c r="X123">
        <f t="shared" si="85"/>
        <v>3.3563214434669296E-3</v>
      </c>
      <c r="Y123">
        <f t="shared" si="86"/>
        <v>4.5146897539621112E-3</v>
      </c>
      <c r="Z123">
        <f t="shared" si="87"/>
        <v>5.940348419042194E-3</v>
      </c>
      <c r="AA123">
        <f t="shared" si="88"/>
        <v>2.890904183670009E-5</v>
      </c>
      <c r="AB123">
        <f t="shared" si="89"/>
        <v>3.8423133053130764E-3</v>
      </c>
      <c r="AC123">
        <f t="shared" si="90"/>
        <v>4.4465200797315309E-4</v>
      </c>
      <c r="AE123" s="2">
        <f t="shared" si="98"/>
        <v>40544</v>
      </c>
      <c r="AF123" t="s">
        <v>8</v>
      </c>
      <c r="AG123">
        <f t="shared" ref="AG123:AM123" si="153">SQRT(AVERAGE(W112:W123))</f>
        <v>0.18041471927793978</v>
      </c>
      <c r="AH123">
        <f t="shared" si="153"/>
        <v>0.16934518066048601</v>
      </c>
      <c r="AI123">
        <f t="shared" si="153"/>
        <v>0.18436455214496569</v>
      </c>
      <c r="AJ123">
        <f t="shared" si="153"/>
        <v>0.12023514082871065</v>
      </c>
      <c r="AK123">
        <f t="shared" si="153"/>
        <v>0.24956352780841509</v>
      </c>
      <c r="AL123">
        <f t="shared" si="153"/>
        <v>0.13702210207300494</v>
      </c>
      <c r="AM123">
        <f t="shared" si="153"/>
        <v>0.17796188120506182</v>
      </c>
    </row>
    <row r="124" spans="1:39" x14ac:dyDescent="0.3">
      <c r="A124" s="2">
        <f t="shared" si="95"/>
        <v>40575</v>
      </c>
      <c r="B124">
        <v>0.32093192514253133</v>
      </c>
      <c r="C124">
        <v>0.21501728815480509</v>
      </c>
      <c r="D124">
        <v>0.25543372078141618</v>
      </c>
      <c r="E124">
        <v>0.21462529437439101</v>
      </c>
      <c r="F124">
        <v>0.32377948808059998</v>
      </c>
      <c r="G124">
        <v>0.32914742985508177</v>
      </c>
      <c r="H124">
        <v>0.34884008953341178</v>
      </c>
      <c r="I124">
        <v>0.26041574794287881</v>
      </c>
      <c r="K124" s="2">
        <f t="shared" si="96"/>
        <v>40575</v>
      </c>
      <c r="L124" t="s">
        <v>8</v>
      </c>
      <c r="M124">
        <f t="shared" si="92"/>
        <v>0.10591463698772624</v>
      </c>
      <c r="N124">
        <f t="shared" si="79"/>
        <v>6.5498204361115142E-2</v>
      </c>
      <c r="O124">
        <f t="shared" si="80"/>
        <v>0.10630663076814031</v>
      </c>
      <c r="P124">
        <f t="shared" si="81"/>
        <v>2.8475629380686485E-3</v>
      </c>
      <c r="Q124">
        <f t="shared" si="82"/>
        <v>8.2155047125504477E-3</v>
      </c>
      <c r="R124">
        <f t="shared" si="83"/>
        <v>2.7908164390880452E-2</v>
      </c>
      <c r="S124">
        <f t="shared" si="84"/>
        <v>6.0516177199652521E-2</v>
      </c>
      <c r="U124" s="2">
        <f t="shared" si="97"/>
        <v>40575</v>
      </c>
      <c r="V124" t="s">
        <v>8</v>
      </c>
      <c r="W124">
        <f t="shared" si="93"/>
        <v>1.1217910328241827E-2</v>
      </c>
      <c r="X124">
        <f t="shared" si="85"/>
        <v>4.2900147745304025E-3</v>
      </c>
      <c r="Y124">
        <f t="shared" si="86"/>
        <v>1.1301099745273716E-2</v>
      </c>
      <c r="Z124">
        <f t="shared" si="87"/>
        <v>8.108614686262154E-6</v>
      </c>
      <c r="AA124">
        <f t="shared" si="88"/>
        <v>6.7494517681938618E-5</v>
      </c>
      <c r="AB124">
        <f t="shared" si="89"/>
        <v>7.7886563966840766E-4</v>
      </c>
      <c r="AC124">
        <f t="shared" si="90"/>
        <v>3.6622077028597437E-3</v>
      </c>
      <c r="AE124" s="2">
        <f t="shared" si="98"/>
        <v>40575</v>
      </c>
      <c r="AF124" t="s">
        <v>8</v>
      </c>
      <c r="AG124">
        <f t="shared" ref="AG124:AM124" si="154">SQRT(AVERAGE(W113:W124))</f>
        <v>0.14751890240554996</v>
      </c>
      <c r="AH124">
        <f t="shared" si="154"/>
        <v>0.12939104008878716</v>
      </c>
      <c r="AI124">
        <f t="shared" si="154"/>
        <v>0.15050305768897693</v>
      </c>
      <c r="AJ124">
        <f t="shared" si="154"/>
        <v>0.11100372214541405</v>
      </c>
      <c r="AK124">
        <f t="shared" si="154"/>
        <v>0.21682371255595756</v>
      </c>
      <c r="AL124">
        <f t="shared" si="154"/>
        <v>0.11345442918501121</v>
      </c>
      <c r="AM124">
        <f t="shared" si="154"/>
        <v>0.13812391044914199</v>
      </c>
    </row>
    <row r="125" spans="1:39" x14ac:dyDescent="0.3">
      <c r="A125" s="2">
        <f t="shared" si="95"/>
        <v>40603</v>
      </c>
      <c r="B125">
        <v>0.51602113856565879</v>
      </c>
      <c r="C125">
        <v>0.12489666178742929</v>
      </c>
      <c r="D125">
        <v>0.24266129462344579</v>
      </c>
      <c r="E125">
        <v>0.1179619444886524</v>
      </c>
      <c r="F125">
        <v>0.32093192514253133</v>
      </c>
      <c r="G125">
        <v>0.32913404955424708</v>
      </c>
      <c r="H125">
        <v>0.33372579217805609</v>
      </c>
      <c r="I125">
        <v>0.26642557802897499</v>
      </c>
      <c r="K125" s="2">
        <f t="shared" si="96"/>
        <v>40603</v>
      </c>
      <c r="L125" t="s">
        <v>8</v>
      </c>
      <c r="M125">
        <f t="shared" si="92"/>
        <v>0.39112447677822948</v>
      </c>
      <c r="N125">
        <f t="shared" si="79"/>
        <v>0.27335984394221302</v>
      </c>
      <c r="O125">
        <f t="shared" si="80"/>
        <v>0.39805919407700641</v>
      </c>
      <c r="P125">
        <f t="shared" si="81"/>
        <v>0.19508921342312746</v>
      </c>
      <c r="Q125">
        <f t="shared" si="82"/>
        <v>0.18688708901141171</v>
      </c>
      <c r="R125">
        <f t="shared" si="83"/>
        <v>0.1822953463876027</v>
      </c>
      <c r="S125">
        <f t="shared" si="84"/>
        <v>0.2495955605366838</v>
      </c>
      <c r="U125" s="2">
        <f t="shared" si="97"/>
        <v>40603</v>
      </c>
      <c r="V125" t="s">
        <v>8</v>
      </c>
      <c r="W125">
        <f t="shared" si="93"/>
        <v>0.15297835633504378</v>
      </c>
      <c r="X125">
        <f t="shared" si="85"/>
        <v>7.472560428011106E-2</v>
      </c>
      <c r="Y125">
        <f t="shared" si="86"/>
        <v>0.15845112198923586</v>
      </c>
      <c r="Z125">
        <f t="shared" si="87"/>
        <v>3.8059801194054575E-2</v>
      </c>
      <c r="AA125">
        <f t="shared" si="88"/>
        <v>3.4926784039159324E-2</v>
      </c>
      <c r="AB125">
        <f t="shared" si="89"/>
        <v>3.3231593314576049E-2</v>
      </c>
      <c r="AC125">
        <f t="shared" si="90"/>
        <v>6.2297943839621388E-2</v>
      </c>
      <c r="AE125" s="2">
        <f t="shared" si="98"/>
        <v>40603</v>
      </c>
      <c r="AF125" t="s">
        <v>8</v>
      </c>
      <c r="AG125">
        <f t="shared" ref="AG125:AM125" si="155">SQRT(AVERAGE(W114:W125))</f>
        <v>0.18462572009956499</v>
      </c>
      <c r="AH125">
        <f t="shared" si="155"/>
        <v>0.15134574775377715</v>
      </c>
      <c r="AI125">
        <f t="shared" si="155"/>
        <v>0.18742231293608255</v>
      </c>
      <c r="AJ125">
        <f t="shared" si="155"/>
        <v>0.11883002134662665</v>
      </c>
      <c r="AK125">
        <f t="shared" si="155"/>
        <v>0.20608123763692793</v>
      </c>
      <c r="AL125">
        <f t="shared" si="155"/>
        <v>0.11721035910260662</v>
      </c>
      <c r="AM125">
        <f t="shared" si="155"/>
        <v>0.1532652966027469</v>
      </c>
    </row>
    <row r="126" spans="1:39" x14ac:dyDescent="0.3">
      <c r="A126" s="2">
        <f t="shared" si="95"/>
        <v>40634</v>
      </c>
      <c r="B126">
        <v>0.46831160490556911</v>
      </c>
      <c r="C126">
        <v>0.31275284344811699</v>
      </c>
      <c r="D126">
        <v>0.35937826136089429</v>
      </c>
      <c r="E126">
        <v>0.3206782192738899</v>
      </c>
      <c r="F126">
        <v>0.51602113856565879</v>
      </c>
      <c r="G126">
        <v>0.32943793099979413</v>
      </c>
      <c r="H126">
        <v>0.32545119718497151</v>
      </c>
      <c r="I126">
        <v>0.27948582381612919</v>
      </c>
      <c r="K126" s="2">
        <f t="shared" si="96"/>
        <v>40634</v>
      </c>
      <c r="L126" t="s">
        <v>8</v>
      </c>
      <c r="M126">
        <f t="shared" si="92"/>
        <v>0.15555876145745212</v>
      </c>
      <c r="N126">
        <f t="shared" si="79"/>
        <v>0.10893334354467482</v>
      </c>
      <c r="O126">
        <f t="shared" si="80"/>
        <v>0.14763338563167921</v>
      </c>
      <c r="P126">
        <f t="shared" si="81"/>
        <v>4.7709533660089676E-2</v>
      </c>
      <c r="Q126">
        <f t="shared" si="82"/>
        <v>0.13887367390577499</v>
      </c>
      <c r="R126">
        <f t="shared" si="83"/>
        <v>0.1428604077205976</v>
      </c>
      <c r="S126">
        <f t="shared" si="84"/>
        <v>0.18882578108943993</v>
      </c>
      <c r="U126" s="2">
        <f t="shared" si="97"/>
        <v>40634</v>
      </c>
      <c r="V126" t="s">
        <v>8</v>
      </c>
      <c r="W126">
        <f t="shared" si="93"/>
        <v>2.4198528266176491E-2</v>
      </c>
      <c r="X126">
        <f t="shared" si="85"/>
        <v>1.1866473335822147E-2</v>
      </c>
      <c r="Y126">
        <f t="shared" si="86"/>
        <v>2.1795616553072106E-2</v>
      </c>
      <c r="Z126">
        <f t="shared" si="87"/>
        <v>2.2761996020632296E-3</v>
      </c>
      <c r="AA126">
        <f t="shared" si="88"/>
        <v>1.9285897304087529E-2</v>
      </c>
      <c r="AB126">
        <f t="shared" si="89"/>
        <v>2.0409096094095382E-2</v>
      </c>
      <c r="AC126">
        <f t="shared" si="90"/>
        <v>3.5655175604037088E-2</v>
      </c>
      <c r="AE126" s="2">
        <f t="shared" si="98"/>
        <v>40634</v>
      </c>
      <c r="AF126" t="s">
        <v>8</v>
      </c>
      <c r="AG126">
        <f t="shared" ref="AG126:AM126" si="156">SQRT(AVERAGE(W115:W126))</f>
        <v>0.1840208848706856</v>
      </c>
      <c r="AH126">
        <f t="shared" si="156"/>
        <v>0.13865466157026013</v>
      </c>
      <c r="AI126">
        <f t="shared" si="156"/>
        <v>0.18558056268313231</v>
      </c>
      <c r="AJ126">
        <f t="shared" si="156"/>
        <v>0.11958974038580221</v>
      </c>
      <c r="AK126">
        <f t="shared" si="156"/>
        <v>0.19009230332611007</v>
      </c>
      <c r="AL126">
        <f t="shared" si="156"/>
        <v>0.12278925239945923</v>
      </c>
      <c r="AM126">
        <f t="shared" si="156"/>
        <v>0.14905342050609041</v>
      </c>
    </row>
    <row r="127" spans="1:39" x14ac:dyDescent="0.3">
      <c r="A127" s="2">
        <f t="shared" si="95"/>
        <v>40664</v>
      </c>
      <c r="B127">
        <v>0.31766637911196938</v>
      </c>
      <c r="C127">
        <v>0.30640178212938068</v>
      </c>
      <c r="D127">
        <v>0.31115347880260119</v>
      </c>
      <c r="E127">
        <v>0.30893748649255548</v>
      </c>
      <c r="F127">
        <v>0.46831160490556911</v>
      </c>
      <c r="G127">
        <v>0.32966337527561518</v>
      </c>
      <c r="H127">
        <v>0.44492124988465048</v>
      </c>
      <c r="I127">
        <v>0.31336027842900371</v>
      </c>
      <c r="K127" s="2">
        <f t="shared" si="96"/>
        <v>40664</v>
      </c>
      <c r="L127" t="s">
        <v>8</v>
      </c>
      <c r="M127">
        <f t="shared" si="92"/>
        <v>1.1264596982588693E-2</v>
      </c>
      <c r="N127">
        <f t="shared" si="79"/>
        <v>6.5129003093681859E-3</v>
      </c>
      <c r="O127">
        <f t="shared" si="80"/>
        <v>8.7288926194138972E-3</v>
      </c>
      <c r="P127">
        <f t="shared" si="81"/>
        <v>0.15064522579359974</v>
      </c>
      <c r="Q127">
        <f t="shared" si="82"/>
        <v>1.1996996163645801E-2</v>
      </c>
      <c r="R127">
        <f t="shared" si="83"/>
        <v>0.12725487077268111</v>
      </c>
      <c r="S127">
        <f t="shared" si="84"/>
        <v>4.3061006829656634E-3</v>
      </c>
      <c r="U127" s="2">
        <f t="shared" si="97"/>
        <v>40664</v>
      </c>
      <c r="V127" t="s">
        <v>8</v>
      </c>
      <c r="W127">
        <f t="shared" si="93"/>
        <v>1.2689114518014627E-4</v>
      </c>
      <c r="X127">
        <f t="shared" si="85"/>
        <v>4.2417870439768214E-5</v>
      </c>
      <c r="Y127">
        <f t="shared" si="86"/>
        <v>7.6193566361258409E-5</v>
      </c>
      <c r="Z127">
        <f t="shared" si="87"/>
        <v>2.2693984054404648E-2</v>
      </c>
      <c r="AA127">
        <f t="shared" si="88"/>
        <v>1.4392791695053207E-4</v>
      </c>
      <c r="AB127">
        <f t="shared" si="89"/>
        <v>1.619380213537177E-2</v>
      </c>
      <c r="AC127">
        <f t="shared" si="90"/>
        <v>1.8542503091837354E-5</v>
      </c>
      <c r="AE127" s="2">
        <f t="shared" si="98"/>
        <v>40664</v>
      </c>
      <c r="AF127" t="s">
        <v>8</v>
      </c>
      <c r="AG127">
        <f t="shared" ref="AG127:AM127" si="157">SQRT(AVERAGE(W116:W127))</f>
        <v>0.17342767910882162</v>
      </c>
      <c r="AH127">
        <f t="shared" si="157"/>
        <v>0.11716596644149248</v>
      </c>
      <c r="AI127">
        <f t="shared" si="157"/>
        <v>0.17539702572891552</v>
      </c>
      <c r="AJ127">
        <f t="shared" si="157"/>
        <v>0.12539625108103428</v>
      </c>
      <c r="AK127">
        <f t="shared" si="157"/>
        <v>0.15463225513148388</v>
      </c>
      <c r="AL127">
        <f t="shared" si="157"/>
        <v>0.11905074593040492</v>
      </c>
      <c r="AM127">
        <f t="shared" si="157"/>
        <v>0.12588174173790048</v>
      </c>
    </row>
    <row r="128" spans="1:39" x14ac:dyDescent="0.3">
      <c r="A128" s="2">
        <f t="shared" si="95"/>
        <v>40695</v>
      </c>
      <c r="B128">
        <v>0</v>
      </c>
      <c r="C128">
        <v>0.14550447934553459</v>
      </c>
      <c r="D128">
        <v>0.24869002722298769</v>
      </c>
      <c r="E128">
        <v>0.1489267127486662</v>
      </c>
      <c r="F128">
        <v>0.31766637911196938</v>
      </c>
      <c r="G128">
        <v>0.32964393119755409</v>
      </c>
      <c r="H128">
        <v>0.41476294137804609</v>
      </c>
      <c r="I128">
        <v>0.22705537631850989</v>
      </c>
      <c r="K128" s="2">
        <f t="shared" si="96"/>
        <v>40695</v>
      </c>
      <c r="L128" t="s">
        <v>8</v>
      </c>
      <c r="M128">
        <f t="shared" si="92"/>
        <v>0.14550447934553459</v>
      </c>
      <c r="N128">
        <f t="shared" si="79"/>
        <v>0.24869002722298769</v>
      </c>
      <c r="O128">
        <f t="shared" si="80"/>
        <v>0.1489267127486662</v>
      </c>
      <c r="P128">
        <f t="shared" si="81"/>
        <v>0.31766637911196938</v>
      </c>
      <c r="Q128">
        <f t="shared" si="82"/>
        <v>0.32964393119755409</v>
      </c>
      <c r="R128">
        <f t="shared" si="83"/>
        <v>0.41476294137804609</v>
      </c>
      <c r="S128">
        <f t="shared" si="84"/>
        <v>0.22705537631850989</v>
      </c>
      <c r="U128" s="2">
        <f t="shared" si="97"/>
        <v>40695</v>
      </c>
      <c r="V128" t="s">
        <v>8</v>
      </c>
      <c r="W128">
        <f t="shared" si="93"/>
        <v>2.1171553509615103E-2</v>
      </c>
      <c r="X128">
        <f t="shared" si="85"/>
        <v>6.1846729640170357E-2</v>
      </c>
      <c r="Y128">
        <f t="shared" si="86"/>
        <v>2.2179165770123736E-2</v>
      </c>
      <c r="Z128">
        <f t="shared" si="87"/>
        <v>0.10091192841810945</v>
      </c>
      <c r="AA128">
        <f t="shared" si="88"/>
        <v>0.10866512137537777</v>
      </c>
      <c r="AB128">
        <f t="shared" si="89"/>
        <v>0.1720282975405685</v>
      </c>
      <c r="AC128">
        <f t="shared" si="90"/>
        <v>5.1554143915140141E-2</v>
      </c>
      <c r="AE128" s="2">
        <f t="shared" si="98"/>
        <v>40695</v>
      </c>
      <c r="AF128" t="s">
        <v>8</v>
      </c>
      <c r="AG128">
        <f t="shared" ref="AG128:AM128" si="158">SQRT(AVERAGE(W117:W128))</f>
        <v>0.17844165074138421</v>
      </c>
      <c r="AH128">
        <f t="shared" si="158"/>
        <v>0.13613763891965874</v>
      </c>
      <c r="AI128">
        <f t="shared" si="158"/>
        <v>0.18053516155658747</v>
      </c>
      <c r="AJ128">
        <f t="shared" si="158"/>
        <v>0.15532238161721179</v>
      </c>
      <c r="AK128">
        <f t="shared" si="158"/>
        <v>0.14631010472169809</v>
      </c>
      <c r="AL128">
        <f t="shared" si="158"/>
        <v>0.16353681703159018</v>
      </c>
      <c r="AM128">
        <f t="shared" si="158"/>
        <v>0.12995748550267738</v>
      </c>
    </row>
    <row r="129" spans="1:39" x14ac:dyDescent="0.3">
      <c r="A129" s="2">
        <f t="shared" si="95"/>
        <v>40725</v>
      </c>
      <c r="B129">
        <v>0.26166105186637978</v>
      </c>
      <c r="C129">
        <v>6.9613675875572642E-2</v>
      </c>
      <c r="D129">
        <v>0.1150568230047691</v>
      </c>
      <c r="E129">
        <v>6.5113974753946841E-2</v>
      </c>
      <c r="F129">
        <v>0</v>
      </c>
      <c r="G129">
        <v>0.32911052677814062</v>
      </c>
      <c r="H129">
        <v>0.34226424926455767</v>
      </c>
      <c r="I129">
        <v>0.1700673183789666</v>
      </c>
      <c r="K129" s="2">
        <f t="shared" si="96"/>
        <v>40725</v>
      </c>
      <c r="L129" t="s">
        <v>8</v>
      </c>
      <c r="M129">
        <f t="shared" si="92"/>
        <v>0.19204737599080712</v>
      </c>
      <c r="N129">
        <f t="shared" si="79"/>
        <v>0.14660422886161067</v>
      </c>
      <c r="O129">
        <f t="shared" si="80"/>
        <v>0.19654707711243294</v>
      </c>
      <c r="P129">
        <f t="shared" si="81"/>
        <v>0.26166105186637978</v>
      </c>
      <c r="Q129">
        <f t="shared" si="82"/>
        <v>6.7449474911760843E-2</v>
      </c>
      <c r="R129">
        <f t="shared" si="83"/>
        <v>8.0603197398177895E-2</v>
      </c>
      <c r="S129">
        <f t="shared" si="84"/>
        <v>9.1593733487413176E-2</v>
      </c>
      <c r="U129" s="2">
        <f t="shared" si="97"/>
        <v>40725</v>
      </c>
      <c r="V129" t="s">
        <v>8</v>
      </c>
      <c r="W129">
        <f t="shared" si="93"/>
        <v>3.6882194624954442E-2</v>
      </c>
      <c r="X129">
        <f t="shared" si="85"/>
        <v>2.1492799920107521E-2</v>
      </c>
      <c r="Y129">
        <f t="shared" si="86"/>
        <v>3.8630753521440658E-2</v>
      </c>
      <c r="Z129">
        <f t="shared" si="87"/>
        <v>6.8466506063820293E-2</v>
      </c>
      <c r="AA129">
        <f t="shared" si="88"/>
        <v>4.5494316658722554E-3</v>
      </c>
      <c r="AB129">
        <f t="shared" si="89"/>
        <v>6.4968754308096319E-3</v>
      </c>
      <c r="AC129">
        <f t="shared" si="90"/>
        <v>8.3894120141632736E-3</v>
      </c>
      <c r="AE129" s="2">
        <f t="shared" si="98"/>
        <v>40725</v>
      </c>
      <c r="AF129" t="s">
        <v>8</v>
      </c>
      <c r="AG129">
        <f t="shared" ref="AG129:AM129" si="159">SQRT(AVERAGE(W118:W129))</f>
        <v>0.18471831835075936</v>
      </c>
      <c r="AH129">
        <f t="shared" si="159"/>
        <v>0.14122554790001909</v>
      </c>
      <c r="AI129">
        <f t="shared" si="159"/>
        <v>0.18765436608742658</v>
      </c>
      <c r="AJ129">
        <f t="shared" si="159"/>
        <v>0.15960658667973798</v>
      </c>
      <c r="AK129">
        <f t="shared" si="159"/>
        <v>0.14169334270184633</v>
      </c>
      <c r="AL129">
        <f t="shared" si="159"/>
        <v>0.16022427476327505</v>
      </c>
      <c r="AM129">
        <f t="shared" si="159"/>
        <v>0.13262000345545771</v>
      </c>
    </row>
    <row r="130" spans="1:39" x14ac:dyDescent="0.3">
      <c r="A130" s="2">
        <f t="shared" si="95"/>
        <v>40756</v>
      </c>
      <c r="B130">
        <v>0.31494972889110068</v>
      </c>
      <c r="C130">
        <v>0.24010032384065219</v>
      </c>
      <c r="D130">
        <v>0.22281258631441489</v>
      </c>
      <c r="E130">
        <v>0.24225144562420861</v>
      </c>
      <c r="F130">
        <v>0.26166105186637978</v>
      </c>
      <c r="G130">
        <v>0.32900156155211191</v>
      </c>
      <c r="H130">
        <v>0.19428162951476999</v>
      </c>
      <c r="I130">
        <v>0.27023355978278341</v>
      </c>
      <c r="K130" s="2">
        <f t="shared" si="96"/>
        <v>40756</v>
      </c>
      <c r="L130" t="s">
        <v>8</v>
      </c>
      <c r="M130">
        <f t="shared" si="92"/>
        <v>7.4849405050448486E-2</v>
      </c>
      <c r="N130">
        <f t="shared" si="79"/>
        <v>9.2137142576685788E-2</v>
      </c>
      <c r="O130">
        <f t="shared" si="80"/>
        <v>7.2698283266892066E-2</v>
      </c>
      <c r="P130">
        <f t="shared" si="81"/>
        <v>5.3288677024720899E-2</v>
      </c>
      <c r="Q130">
        <f t="shared" si="82"/>
        <v>1.4051832661011232E-2</v>
      </c>
      <c r="R130">
        <f t="shared" si="83"/>
        <v>0.12066809937633069</v>
      </c>
      <c r="S130">
        <f t="shared" si="84"/>
        <v>4.4716169108317272E-2</v>
      </c>
      <c r="U130" s="2">
        <f t="shared" si="97"/>
        <v>40756</v>
      </c>
      <c r="V130" t="s">
        <v>8</v>
      </c>
      <c r="W130">
        <f t="shared" si="93"/>
        <v>5.6024334364061035E-3</v>
      </c>
      <c r="X130">
        <f t="shared" si="85"/>
        <v>8.4892530421965245E-3</v>
      </c>
      <c r="Y130">
        <f t="shared" si="86"/>
        <v>5.2850403899532793E-3</v>
      </c>
      <c r="Z130">
        <f t="shared" si="87"/>
        <v>2.8396830990450169E-3</v>
      </c>
      <c r="AA130">
        <f t="shared" si="88"/>
        <v>1.97454001133062E-4</v>
      </c>
      <c r="AB130">
        <f t="shared" si="89"/>
        <v>1.456079020709602E-2</v>
      </c>
      <c r="AC130">
        <f t="shared" si="90"/>
        <v>1.9995357797236279E-3</v>
      </c>
      <c r="AE130" s="2">
        <f t="shared" si="98"/>
        <v>40756</v>
      </c>
      <c r="AF130" t="s">
        <v>8</v>
      </c>
      <c r="AG130">
        <f t="shared" ref="AG130:AM130" si="160">SQRT(AVERAGE(W119:W130))</f>
        <v>0.18355510423975441</v>
      </c>
      <c r="AH130">
        <f t="shared" si="160"/>
        <v>0.14309287065494819</v>
      </c>
      <c r="AI130">
        <f t="shared" si="160"/>
        <v>0.18620420650121586</v>
      </c>
      <c r="AJ130">
        <f t="shared" si="160"/>
        <v>0.15991472145199626</v>
      </c>
      <c r="AK130">
        <f t="shared" si="160"/>
        <v>0.1314605789113352</v>
      </c>
      <c r="AL130">
        <f t="shared" si="160"/>
        <v>0.16242921813189171</v>
      </c>
      <c r="AM130">
        <f t="shared" si="160"/>
        <v>0.13095645622056679</v>
      </c>
    </row>
    <row r="131" spans="1:39" x14ac:dyDescent="0.3">
      <c r="A131" s="2">
        <f t="shared" si="95"/>
        <v>40787</v>
      </c>
      <c r="B131">
        <v>0.21691934558836221</v>
      </c>
      <c r="C131">
        <v>0.1022530033004638</v>
      </c>
      <c r="D131">
        <v>0.1748796896885669</v>
      </c>
      <c r="E131">
        <v>9.7310095127121132E-2</v>
      </c>
      <c r="F131">
        <v>0.31494972889110068</v>
      </c>
      <c r="G131">
        <v>0.32897889730588448</v>
      </c>
      <c r="H131">
        <v>0.30773165225062871</v>
      </c>
      <c r="I131">
        <v>0.1746934263979498</v>
      </c>
      <c r="K131" s="2">
        <f t="shared" si="96"/>
        <v>40787</v>
      </c>
      <c r="L131" t="s">
        <v>8</v>
      </c>
      <c r="M131">
        <f t="shared" si="92"/>
        <v>0.1146663422878984</v>
      </c>
      <c r="N131">
        <f t="shared" ref="N131:N182" si="161">ABS(D131-$B131)</f>
        <v>4.2039655899795303E-2</v>
      </c>
      <c r="O131">
        <f t="shared" ref="O131:O182" si="162">ABS(E131-$B131)</f>
        <v>0.11960925046124107</v>
      </c>
      <c r="P131">
        <f t="shared" ref="P131:P182" si="163">ABS(F131-$B131)</f>
        <v>9.8030383302738472E-2</v>
      </c>
      <c r="Q131">
        <f t="shared" ref="Q131:Q182" si="164">ABS(G131-$B131)</f>
        <v>0.11205955171752227</v>
      </c>
      <c r="R131">
        <f t="shared" ref="R131:R182" si="165">ABS(H131-$B131)</f>
        <v>9.0812306662266501E-2</v>
      </c>
      <c r="S131">
        <f t="shared" ref="S131:S182" si="166">ABS(I131-$B131)</f>
        <v>4.2225919190412409E-2</v>
      </c>
      <c r="U131" s="2">
        <f t="shared" si="97"/>
        <v>40787</v>
      </c>
      <c r="V131" t="s">
        <v>8</v>
      </c>
      <c r="W131">
        <f t="shared" si="93"/>
        <v>1.3148370053685477E-2</v>
      </c>
      <c r="X131">
        <f t="shared" ref="X131:X182" si="167">(D131-$B131)^2</f>
        <v>1.767332668173194E-3</v>
      </c>
      <c r="Y131">
        <f t="shared" ref="Y131:Y182" si="168">(E131-$B131)^2</f>
        <v>1.4306372795899898E-2</v>
      </c>
      <c r="Z131">
        <f t="shared" ref="Z131:Z182" si="169">(F131-$B131)^2</f>
        <v>9.6099560504818264E-3</v>
      </c>
      <c r="AA131">
        <f t="shared" ref="AA131:AA182" si="170">(G131-$B131)^2</f>
        <v>1.2557343131132048E-2</v>
      </c>
      <c r="AB131">
        <f t="shared" ref="AB131:AB182" si="171">(H131-$B131)^2</f>
        <v>8.246875041321532E-3</v>
      </c>
      <c r="AC131">
        <f t="shared" ref="AC131:AC182" si="172">(I131-$B131)^2</f>
        <v>1.7830282514752389E-3</v>
      </c>
      <c r="AE131" s="2">
        <f t="shared" si="98"/>
        <v>40787</v>
      </c>
      <c r="AF131" t="s">
        <v>8</v>
      </c>
      <c r="AG131">
        <f t="shared" ref="AG131:AM131" si="173">SQRT(AVERAGE(W120:W131))</f>
        <v>0.18349620547056075</v>
      </c>
      <c r="AH131">
        <f t="shared" si="173"/>
        <v>0.14356607709578628</v>
      </c>
      <c r="AI131">
        <f t="shared" si="173"/>
        <v>0.18565467983106881</v>
      </c>
      <c r="AJ131">
        <f t="shared" si="173"/>
        <v>0.16233876404771352</v>
      </c>
      <c r="AK131">
        <f t="shared" si="173"/>
        <v>0.126395906824944</v>
      </c>
      <c r="AL131">
        <f t="shared" si="173"/>
        <v>0.16440482089666927</v>
      </c>
      <c r="AM131">
        <f t="shared" si="173"/>
        <v>0.1309709335469732</v>
      </c>
    </row>
    <row r="132" spans="1:39" x14ac:dyDescent="0.3">
      <c r="A132" s="2">
        <f t="shared" si="95"/>
        <v>40817</v>
      </c>
      <c r="B132">
        <v>6.7497967697516259E-2</v>
      </c>
      <c r="C132">
        <v>0.1865078734536614</v>
      </c>
      <c r="D132">
        <v>0.20166182729487139</v>
      </c>
      <c r="E132">
        <v>0.18439351876661769</v>
      </c>
      <c r="F132">
        <v>0.21691934558836221</v>
      </c>
      <c r="G132">
        <v>0.32879844714208822</v>
      </c>
      <c r="H132">
        <v>0.3063161959870711</v>
      </c>
      <c r="I132">
        <v>0.25083485178836801</v>
      </c>
      <c r="K132" s="2">
        <f t="shared" si="96"/>
        <v>40817</v>
      </c>
      <c r="L132" t="s">
        <v>8</v>
      </c>
      <c r="M132">
        <f t="shared" ref="M132:M182" si="174">ABS(C132-$B132)</f>
        <v>0.11900990575614515</v>
      </c>
      <c r="N132">
        <f t="shared" si="161"/>
        <v>0.13416385959735513</v>
      </c>
      <c r="O132">
        <f t="shared" si="162"/>
        <v>0.11689555106910143</v>
      </c>
      <c r="P132">
        <f t="shared" si="163"/>
        <v>0.14942137789084595</v>
      </c>
      <c r="Q132">
        <f t="shared" si="164"/>
        <v>0.26130047944457196</v>
      </c>
      <c r="R132">
        <f t="shared" si="165"/>
        <v>0.23881822828955485</v>
      </c>
      <c r="S132">
        <f t="shared" si="166"/>
        <v>0.18333688409085175</v>
      </c>
      <c r="U132" s="2">
        <f t="shared" si="97"/>
        <v>40817</v>
      </c>
      <c r="V132" t="s">
        <v>8</v>
      </c>
      <c r="W132">
        <f t="shared" ref="W132:W182" si="175">(C132-$B132)^2</f>
        <v>1.4163357668086549E-2</v>
      </c>
      <c r="X132">
        <f t="shared" si="167"/>
        <v>1.7999941222058821E-2</v>
      </c>
      <c r="Y132">
        <f t="shared" si="168"/>
        <v>1.3664569859748902E-2</v>
      </c>
      <c r="Z132">
        <f t="shared" si="169"/>
        <v>2.2326748170798986E-2</v>
      </c>
      <c r="AA132">
        <f t="shared" si="170"/>
        <v>6.8277940557963171E-2</v>
      </c>
      <c r="AB132">
        <f t="shared" si="171"/>
        <v>5.7034146163361936E-2</v>
      </c>
      <c r="AC132">
        <f t="shared" si="172"/>
        <v>3.3612413068142409E-2</v>
      </c>
      <c r="AE132" s="2">
        <f t="shared" si="98"/>
        <v>40817</v>
      </c>
      <c r="AF132" t="s">
        <v>8</v>
      </c>
      <c r="AG132">
        <f t="shared" ref="AG132:AM132" si="176">SQRT(AVERAGE(W121:W132))</f>
        <v>0.1624114296438483</v>
      </c>
      <c r="AH132">
        <f t="shared" si="176"/>
        <v>0.14119007095364944</v>
      </c>
      <c r="AI132">
        <f t="shared" si="176"/>
        <v>0.16490631932291025</v>
      </c>
      <c r="AJ132">
        <f t="shared" si="176"/>
        <v>0.15914047690049565</v>
      </c>
      <c r="AK132">
        <f t="shared" si="176"/>
        <v>0.14709655638994076</v>
      </c>
      <c r="AL132">
        <f t="shared" si="176"/>
        <v>0.1698714831663494</v>
      </c>
      <c r="AM132">
        <f t="shared" si="176"/>
        <v>0.13521777385569853</v>
      </c>
    </row>
    <row r="133" spans="1:39" x14ac:dyDescent="0.3">
      <c r="A133" s="2">
        <f t="shared" ref="A133:A182" si="177">EDATE(A132,1)</f>
        <v>40848</v>
      </c>
      <c r="B133">
        <v>0.1846144880494727</v>
      </c>
      <c r="C133">
        <v>0.17637921509076621</v>
      </c>
      <c r="D133">
        <v>0.20321970399216641</v>
      </c>
      <c r="E133">
        <v>0.18609938282176949</v>
      </c>
      <c r="F133">
        <v>6.7497967697516259E-2</v>
      </c>
      <c r="G133">
        <v>0.32837834990825437</v>
      </c>
      <c r="H133">
        <v>0.22503600161339979</v>
      </c>
      <c r="I133">
        <v>0.23324346213474029</v>
      </c>
      <c r="K133" s="2">
        <f t="shared" ref="K133:K182" si="178">EDATE(K132,1)</f>
        <v>40848</v>
      </c>
      <c r="L133" t="s">
        <v>8</v>
      </c>
      <c r="M133">
        <f t="shared" si="174"/>
        <v>8.235272958706491E-3</v>
      </c>
      <c r="N133">
        <f t="shared" si="161"/>
        <v>1.8605215942693709E-2</v>
      </c>
      <c r="O133">
        <f t="shared" si="162"/>
        <v>1.4848947722967965E-3</v>
      </c>
      <c r="P133">
        <f t="shared" si="163"/>
        <v>0.11711652035195644</v>
      </c>
      <c r="Q133">
        <f t="shared" si="164"/>
        <v>0.14376386185878168</v>
      </c>
      <c r="R133">
        <f t="shared" si="165"/>
        <v>4.0421513563927092E-2</v>
      </c>
      <c r="S133">
        <f t="shared" si="166"/>
        <v>4.862897408526759E-2</v>
      </c>
      <c r="U133" s="2">
        <f t="shared" ref="U133:U182" si="179">EDATE(U132,1)</f>
        <v>40848</v>
      </c>
      <c r="V133" t="s">
        <v>8</v>
      </c>
      <c r="W133">
        <f t="shared" si="175"/>
        <v>6.7819720704402362E-5</v>
      </c>
      <c r="X133">
        <f t="shared" si="167"/>
        <v>3.4615406027426414E-4</v>
      </c>
      <c r="Y133">
        <f t="shared" si="168"/>
        <v>2.2049124847943549E-6</v>
      </c>
      <c r="Z133">
        <f t="shared" si="169"/>
        <v>1.3716279339350226E-2</v>
      </c>
      <c r="AA133">
        <f t="shared" si="170"/>
        <v>2.0668047976550859E-2</v>
      </c>
      <c r="AB133">
        <f t="shared" si="171"/>
        <v>1.6338987587987419E-3</v>
      </c>
      <c r="AC133">
        <f t="shared" si="172"/>
        <v>2.3647771205856268E-3</v>
      </c>
      <c r="AE133" s="2">
        <f t="shared" ref="AE133:AE182" si="180">EDATE(AE132,1)</f>
        <v>40848</v>
      </c>
      <c r="AF133" t="s">
        <v>8</v>
      </c>
      <c r="AG133">
        <f t="shared" ref="AG133:AM133" si="181">SQRT(AVERAGE(W122:W133))</f>
        <v>0.16230557189325381</v>
      </c>
      <c r="AH133">
        <f t="shared" si="181"/>
        <v>0.14063166197704635</v>
      </c>
      <c r="AI133">
        <f t="shared" si="181"/>
        <v>0.16478978326908891</v>
      </c>
      <c r="AJ133">
        <f t="shared" si="181"/>
        <v>0.16038788059742787</v>
      </c>
      <c r="AK133">
        <f t="shared" si="181"/>
        <v>0.15125189896097174</v>
      </c>
      <c r="AL133">
        <f t="shared" si="181"/>
        <v>0.16901540026791964</v>
      </c>
      <c r="AM133">
        <f t="shared" si="181"/>
        <v>0.13592595861543497</v>
      </c>
    </row>
    <row r="134" spans="1:39" x14ac:dyDescent="0.3">
      <c r="A134" s="2">
        <f t="shared" si="177"/>
        <v>40878</v>
      </c>
      <c r="B134">
        <v>2.3768024196879619E-2</v>
      </c>
      <c r="C134">
        <v>0.19972783952810599</v>
      </c>
      <c r="D134">
        <v>0.22311443228991301</v>
      </c>
      <c r="E134">
        <v>0.19095074390467601</v>
      </c>
      <c r="F134">
        <v>0.1846144880494727</v>
      </c>
      <c r="G134">
        <v>0.32814758929531901</v>
      </c>
      <c r="H134">
        <v>0.18310792566943429</v>
      </c>
      <c r="I134">
        <v>0.24289808336879351</v>
      </c>
      <c r="K134" s="2">
        <f t="shared" si="178"/>
        <v>40878</v>
      </c>
      <c r="L134" t="s">
        <v>8</v>
      </c>
      <c r="M134">
        <f t="shared" si="174"/>
        <v>0.17595981533122637</v>
      </c>
      <c r="N134">
        <f t="shared" si="161"/>
        <v>0.19934640809303339</v>
      </c>
      <c r="O134">
        <f t="shared" si="162"/>
        <v>0.16718271970779638</v>
      </c>
      <c r="P134">
        <f t="shared" si="163"/>
        <v>0.16084646385259307</v>
      </c>
      <c r="Q134">
        <f t="shared" si="164"/>
        <v>0.30437956509843939</v>
      </c>
      <c r="R134">
        <f t="shared" si="165"/>
        <v>0.15933990147255467</v>
      </c>
      <c r="S134">
        <f t="shared" si="166"/>
        <v>0.21913005917191389</v>
      </c>
      <c r="U134" s="2">
        <f t="shared" si="179"/>
        <v>40878</v>
      </c>
      <c r="V134" t="s">
        <v>8</v>
      </c>
      <c r="W134">
        <f t="shared" si="175"/>
        <v>3.0961856611399288E-2</v>
      </c>
      <c r="X134">
        <f t="shared" si="167"/>
        <v>3.9738990419594208E-2</v>
      </c>
      <c r="Y134">
        <f t="shared" si="168"/>
        <v>2.7950061768895609E-2</v>
      </c>
      <c r="Z134">
        <f t="shared" si="169"/>
        <v>2.5871584933883529E-2</v>
      </c>
      <c r="AA134">
        <f t="shared" si="170"/>
        <v>9.2646919649515103E-2</v>
      </c>
      <c r="AB134">
        <f t="shared" si="171"/>
        <v>2.5389204201283429E-2</v>
      </c>
      <c r="AC134">
        <f t="shared" si="172"/>
        <v>4.8017982832686483E-2</v>
      </c>
      <c r="AE134" s="2">
        <f t="shared" si="180"/>
        <v>40878</v>
      </c>
      <c r="AF134" t="s">
        <v>8</v>
      </c>
      <c r="AG134">
        <f t="shared" ref="AG134:AM134" si="182">SQRT(AVERAGE(W123:W134))</f>
        <v>0.16186465507947309</v>
      </c>
      <c r="AH134">
        <f t="shared" si="182"/>
        <v>0.14316716123613019</v>
      </c>
      <c r="AI134">
        <f t="shared" si="182"/>
        <v>0.16282835815321295</v>
      </c>
      <c r="AJ134">
        <f t="shared" si="182"/>
        <v>0.16143139098900505</v>
      </c>
      <c r="AK134">
        <f t="shared" si="182"/>
        <v>0.17368920307483621</v>
      </c>
      <c r="AL134">
        <f t="shared" si="182"/>
        <v>0.17316797188285726</v>
      </c>
      <c r="AM134">
        <f t="shared" si="182"/>
        <v>0.14427976718846733</v>
      </c>
    </row>
    <row r="135" spans="1:39" x14ac:dyDescent="0.3">
      <c r="A135" s="2">
        <f t="shared" si="177"/>
        <v>40909</v>
      </c>
      <c r="B135">
        <v>0.27204921572616669</v>
      </c>
      <c r="C135">
        <v>0.10668831189526071</v>
      </c>
      <c r="D135">
        <v>0.17417634786819969</v>
      </c>
      <c r="E135">
        <v>0.1007166055336375</v>
      </c>
      <c r="F135">
        <v>2.3768024196879619E-2</v>
      </c>
      <c r="G135">
        <v>0.32765980153073809</v>
      </c>
      <c r="H135">
        <v>0.24177045802802169</v>
      </c>
      <c r="I135">
        <v>0.2033698774716256</v>
      </c>
      <c r="K135" s="2">
        <f t="shared" si="178"/>
        <v>40909</v>
      </c>
      <c r="L135" t="s">
        <v>8</v>
      </c>
      <c r="M135">
        <f t="shared" si="174"/>
        <v>0.16536090383090599</v>
      </c>
      <c r="N135">
        <f t="shared" si="161"/>
        <v>9.7872867857967005E-2</v>
      </c>
      <c r="O135">
        <f t="shared" si="162"/>
        <v>0.17133261019252921</v>
      </c>
      <c r="P135">
        <f t="shared" si="163"/>
        <v>0.24828119152928707</v>
      </c>
      <c r="Q135">
        <f t="shared" si="164"/>
        <v>5.56105858045714E-2</v>
      </c>
      <c r="R135">
        <f t="shared" si="165"/>
        <v>3.0278757698145004E-2</v>
      </c>
      <c r="S135">
        <f t="shared" si="166"/>
        <v>6.8679338254541089E-2</v>
      </c>
      <c r="U135" s="2">
        <f t="shared" si="179"/>
        <v>40909</v>
      </c>
      <c r="V135" t="s">
        <v>8</v>
      </c>
      <c r="W135">
        <f t="shared" si="175"/>
        <v>2.7344228515774137E-2</v>
      </c>
      <c r="X135">
        <f t="shared" si="167"/>
        <v>9.5790982627430715E-3</v>
      </c>
      <c r="Y135">
        <f t="shared" si="168"/>
        <v>2.9354863315385164E-2</v>
      </c>
      <c r="Z135">
        <f t="shared" si="169"/>
        <v>6.1643550067202527E-2</v>
      </c>
      <c r="AA135">
        <f t="shared" si="170"/>
        <v>3.092537253527598E-3</v>
      </c>
      <c r="AB135">
        <f t="shared" si="171"/>
        <v>9.1680316774297532E-4</v>
      </c>
      <c r="AC135">
        <f t="shared" si="172"/>
        <v>4.7168515030816711E-3</v>
      </c>
      <c r="AE135" s="2">
        <f t="shared" si="180"/>
        <v>40909</v>
      </c>
      <c r="AF135" t="s">
        <v>8</v>
      </c>
      <c r="AG135">
        <f t="shared" ref="AG135:AM135" si="183">SQRT(AVERAGE(W124:W135))</f>
        <v>0.16779538636269367</v>
      </c>
      <c r="AH135">
        <f t="shared" si="183"/>
        <v>0.14496689550153088</v>
      </c>
      <c r="AI135">
        <f t="shared" si="183"/>
        <v>0.16906533850060135</v>
      </c>
      <c r="AJ135">
        <f t="shared" si="183"/>
        <v>0.17521994026743942</v>
      </c>
      <c r="AK135">
        <f t="shared" si="183"/>
        <v>0.17442259491174283</v>
      </c>
      <c r="AL135">
        <f t="shared" si="183"/>
        <v>0.172462616165237</v>
      </c>
      <c r="AM135">
        <f t="shared" si="183"/>
        <v>0.1455083085069396</v>
      </c>
    </row>
    <row r="136" spans="1:39" x14ac:dyDescent="0.3">
      <c r="A136" s="2">
        <f t="shared" si="177"/>
        <v>40940</v>
      </c>
      <c r="B136">
        <v>0.21351650368677261</v>
      </c>
      <c r="C136">
        <v>0.25940299517790522</v>
      </c>
      <c r="D136">
        <v>0.25403246491198322</v>
      </c>
      <c r="E136">
        <v>0.25940653002039488</v>
      </c>
      <c r="F136">
        <v>0.27204921572616669</v>
      </c>
      <c r="G136">
        <v>0.32757082459345083</v>
      </c>
      <c r="H136">
        <v>0.13854897834762411</v>
      </c>
      <c r="I136">
        <v>0.26594813546459528</v>
      </c>
      <c r="K136" s="2">
        <f t="shared" si="178"/>
        <v>40940</v>
      </c>
      <c r="L136" t="s">
        <v>8</v>
      </c>
      <c r="M136">
        <f t="shared" si="174"/>
        <v>4.5886491491132608E-2</v>
      </c>
      <c r="N136">
        <f t="shared" si="161"/>
        <v>4.0515961225210617E-2</v>
      </c>
      <c r="O136">
        <f t="shared" si="162"/>
        <v>4.5890026333622269E-2</v>
      </c>
      <c r="P136">
        <f t="shared" si="163"/>
        <v>5.8532712039394086E-2</v>
      </c>
      <c r="Q136">
        <f t="shared" si="164"/>
        <v>0.11405432090667822</v>
      </c>
      <c r="R136">
        <f t="shared" si="165"/>
        <v>7.4967525339148494E-2</v>
      </c>
      <c r="S136">
        <f t="shared" si="166"/>
        <v>5.2431631777822674E-2</v>
      </c>
      <c r="U136" s="2">
        <f t="shared" si="179"/>
        <v>40940</v>
      </c>
      <c r="V136" t="s">
        <v>8</v>
      </c>
      <c r="W136">
        <f t="shared" si="175"/>
        <v>2.1055701013657853E-3</v>
      </c>
      <c r="X136">
        <f t="shared" si="167"/>
        <v>1.6415431140027702E-3</v>
      </c>
      <c r="Y136">
        <f t="shared" si="168"/>
        <v>2.1058945169005455E-3</v>
      </c>
      <c r="Z136">
        <f t="shared" si="169"/>
        <v>3.4260783786866293E-3</v>
      </c>
      <c r="AA136">
        <f t="shared" si="170"/>
        <v>1.3008388117483536E-2</v>
      </c>
      <c r="AB136">
        <f t="shared" si="171"/>
        <v>5.6201298554758713E-3</v>
      </c>
      <c r="AC136">
        <f t="shared" si="172"/>
        <v>2.7490760108851843E-3</v>
      </c>
      <c r="AE136" s="2">
        <f t="shared" si="180"/>
        <v>40940</v>
      </c>
      <c r="AF136" t="s">
        <v>8</v>
      </c>
      <c r="AG136">
        <f t="shared" ref="AG136:AM136" si="184">SQRT(AVERAGE(W125:W136))</f>
        <v>0.16551715922837923</v>
      </c>
      <c r="AH136">
        <f t="shared" si="184"/>
        <v>0.14420365744197039</v>
      </c>
      <c r="AI136">
        <f t="shared" si="184"/>
        <v>0.1667837569428105</v>
      </c>
      <c r="AJ136">
        <f t="shared" si="184"/>
        <v>0.1760308446863553</v>
      </c>
      <c r="AK136">
        <f t="shared" si="184"/>
        <v>0.17748704013456701</v>
      </c>
      <c r="AL136">
        <f t="shared" si="184"/>
        <v>0.17362831756141764</v>
      </c>
      <c r="AM136">
        <f t="shared" si="184"/>
        <v>0.14524659561203548</v>
      </c>
    </row>
    <row r="137" spans="1:39" x14ac:dyDescent="0.3">
      <c r="A137" s="2">
        <f t="shared" si="177"/>
        <v>40969</v>
      </c>
      <c r="B137">
        <v>0.2091282131398309</v>
      </c>
      <c r="C137">
        <v>0.26189518680080831</v>
      </c>
      <c r="D137">
        <v>0.32154376943004159</v>
      </c>
      <c r="E137">
        <v>0.26852655641408912</v>
      </c>
      <c r="F137">
        <v>0.21351650368677261</v>
      </c>
      <c r="G137">
        <v>0.32738862919264139</v>
      </c>
      <c r="H137">
        <v>0.24824059310515481</v>
      </c>
      <c r="I137">
        <v>0.25610314011258789</v>
      </c>
      <c r="K137" s="2">
        <f t="shared" si="178"/>
        <v>40969</v>
      </c>
      <c r="L137" t="s">
        <v>8</v>
      </c>
      <c r="M137">
        <f t="shared" si="174"/>
        <v>5.2766973660977406E-2</v>
      </c>
      <c r="N137">
        <f t="shared" si="161"/>
        <v>0.11241555629021069</v>
      </c>
      <c r="O137">
        <f t="shared" si="162"/>
        <v>5.939834327425822E-2</v>
      </c>
      <c r="P137">
        <f t="shared" si="163"/>
        <v>4.3882905469417033E-3</v>
      </c>
      <c r="Q137">
        <f t="shared" si="164"/>
        <v>0.11826041605281049</v>
      </c>
      <c r="R137">
        <f t="shared" si="165"/>
        <v>3.9112379965323907E-2</v>
      </c>
      <c r="S137">
        <f t="shared" si="166"/>
        <v>4.6974926972756986E-2</v>
      </c>
      <c r="U137" s="2">
        <f t="shared" si="179"/>
        <v>40969</v>
      </c>
      <c r="V137" t="s">
        <v>8</v>
      </c>
      <c r="W137">
        <f t="shared" si="175"/>
        <v>2.7843535093382832E-3</v>
      </c>
      <c r="X137">
        <f t="shared" si="167"/>
        <v>1.2637257296037529E-2</v>
      </c>
      <c r="Y137">
        <f t="shared" si="168"/>
        <v>3.5281631837266168E-3</v>
      </c>
      <c r="Z137">
        <f t="shared" si="169"/>
        <v>1.9257093924377914E-5</v>
      </c>
      <c r="AA137">
        <f t="shared" si="170"/>
        <v>1.3985526004983836E-2</v>
      </c>
      <c r="AB137">
        <f t="shared" si="171"/>
        <v>1.5297782665518709E-3</v>
      </c>
      <c r="AC137">
        <f t="shared" si="172"/>
        <v>2.206643764095852E-3</v>
      </c>
      <c r="AE137" s="2">
        <f t="shared" si="180"/>
        <v>40969</v>
      </c>
      <c r="AF137" t="s">
        <v>8</v>
      </c>
      <c r="AG137">
        <f t="shared" ref="AG137:AM137" si="185">SQRT(AVERAGE(W126:W137))</f>
        <v>0.12198263440707663</v>
      </c>
      <c r="AH137">
        <f t="shared" si="185"/>
        <v>0.12498266241483928</v>
      </c>
      <c r="AI137">
        <f t="shared" si="185"/>
        <v>0.12209248548879949</v>
      </c>
      <c r="AJ137">
        <f t="shared" si="185"/>
        <v>0.16678373103907415</v>
      </c>
      <c r="AK137">
        <f t="shared" si="185"/>
        <v>0.17250085385164943</v>
      </c>
      <c r="AL137">
        <f t="shared" si="185"/>
        <v>0.16584623824054559</v>
      </c>
      <c r="AM137">
        <f t="shared" si="185"/>
        <v>0.12684228473682993</v>
      </c>
    </row>
    <row r="138" spans="1:39" x14ac:dyDescent="0.3">
      <c r="A138" s="2">
        <f t="shared" si="177"/>
        <v>41000</v>
      </c>
      <c r="B138">
        <v>0.16594107660745649</v>
      </c>
      <c r="C138">
        <v>0.2323501683913789</v>
      </c>
      <c r="D138">
        <v>0.25543080163262533</v>
      </c>
      <c r="E138">
        <v>0.2327041238911578</v>
      </c>
      <c r="F138">
        <v>0.2091282131398309</v>
      </c>
      <c r="G138">
        <v>0.32720001608888899</v>
      </c>
      <c r="H138">
        <v>0.23473389814893611</v>
      </c>
      <c r="I138">
        <v>0.24021989398873231</v>
      </c>
      <c r="K138" s="2">
        <f t="shared" si="178"/>
        <v>41000</v>
      </c>
      <c r="L138" t="s">
        <v>8</v>
      </c>
      <c r="M138">
        <f t="shared" si="174"/>
        <v>6.6409091783922403E-2</v>
      </c>
      <c r="N138">
        <f t="shared" si="161"/>
        <v>8.9489725025168831E-2</v>
      </c>
      <c r="O138">
        <f t="shared" si="162"/>
        <v>6.6763047283701304E-2</v>
      </c>
      <c r="P138">
        <f t="shared" si="163"/>
        <v>4.3187136532374409E-2</v>
      </c>
      <c r="Q138">
        <f t="shared" si="164"/>
        <v>0.1612589394814325</v>
      </c>
      <c r="R138">
        <f t="shared" si="165"/>
        <v>6.8792821541479615E-2</v>
      </c>
      <c r="S138">
        <f t="shared" si="166"/>
        <v>7.4278817381275813E-2</v>
      </c>
      <c r="U138" s="2">
        <f t="shared" si="179"/>
        <v>41000</v>
      </c>
      <c r="V138" t="s">
        <v>8</v>
      </c>
      <c r="W138">
        <f t="shared" si="175"/>
        <v>4.4101674715654304E-3</v>
      </c>
      <c r="X138">
        <f t="shared" si="167"/>
        <v>8.008410885080329E-3</v>
      </c>
      <c r="Y138">
        <f t="shared" si="168"/>
        <v>4.4573044826057362E-3</v>
      </c>
      <c r="Z138">
        <f t="shared" si="169"/>
        <v>1.8651287618659483E-3</v>
      </c>
      <c r="AA138">
        <f t="shared" si="170"/>
        <v>2.6004445562676309E-2</v>
      </c>
      <c r="AB138">
        <f t="shared" si="171"/>
        <v>4.7324522956378621E-3</v>
      </c>
      <c r="AC138">
        <f t="shared" si="172"/>
        <v>5.5173427115609219E-3</v>
      </c>
      <c r="AE138" s="2">
        <f t="shared" si="180"/>
        <v>41000</v>
      </c>
      <c r="AF138" t="s">
        <v>8</v>
      </c>
      <c r="AG138">
        <f t="shared" ref="AG138:AM138" si="186">SQRT(AVERAGE(W127:W138))</f>
        <v>0.11502492351952652</v>
      </c>
      <c r="AH138">
        <f t="shared" si="186"/>
        <v>0.12368977605312897</v>
      </c>
      <c r="AI138">
        <f t="shared" si="186"/>
        <v>0.1160246339086109</v>
      </c>
      <c r="AJ138">
        <f t="shared" si="186"/>
        <v>0.16668100382456441</v>
      </c>
      <c r="AK138">
        <f t="shared" si="186"/>
        <v>0.17411612102587506</v>
      </c>
      <c r="AL138">
        <f t="shared" si="186"/>
        <v>0.16185977806525936</v>
      </c>
      <c r="AM138">
        <f t="shared" si="186"/>
        <v>0.11652244042623731</v>
      </c>
    </row>
    <row r="139" spans="1:39" x14ac:dyDescent="0.3">
      <c r="A139" s="2">
        <f t="shared" si="177"/>
        <v>41030</v>
      </c>
      <c r="B139">
        <v>-0.2070321770282213</v>
      </c>
      <c r="C139">
        <v>0.18602328108173821</v>
      </c>
      <c r="D139">
        <v>0.22234341885403561</v>
      </c>
      <c r="E139">
        <v>0.1909295956156653</v>
      </c>
      <c r="F139">
        <v>0.16594107660745649</v>
      </c>
      <c r="G139">
        <v>0.32694323433812228</v>
      </c>
      <c r="H139">
        <v>0.22041290740829281</v>
      </c>
      <c r="I139">
        <v>0.21433570609729141</v>
      </c>
      <c r="K139" s="2">
        <f t="shared" si="178"/>
        <v>41030</v>
      </c>
      <c r="L139" t="s">
        <v>8</v>
      </c>
      <c r="M139">
        <f t="shared" si="174"/>
        <v>0.39305545810995951</v>
      </c>
      <c r="N139">
        <f t="shared" si="161"/>
        <v>0.42937559588225693</v>
      </c>
      <c r="O139">
        <f t="shared" si="162"/>
        <v>0.3979617726438866</v>
      </c>
      <c r="P139">
        <f t="shared" si="163"/>
        <v>0.37297325363567779</v>
      </c>
      <c r="Q139">
        <f t="shared" si="164"/>
        <v>0.53397541136634352</v>
      </c>
      <c r="R139">
        <f t="shared" si="165"/>
        <v>0.42744508443651408</v>
      </c>
      <c r="S139">
        <f t="shared" si="166"/>
        <v>0.42136788312551271</v>
      </c>
      <c r="U139" s="2">
        <f t="shared" si="179"/>
        <v>41030</v>
      </c>
      <c r="V139" t="s">
        <v>8</v>
      </c>
      <c r="W139">
        <f t="shared" si="175"/>
        <v>0.15449259315003014</v>
      </c>
      <c r="X139">
        <f t="shared" si="167"/>
        <v>0.18436340233924323</v>
      </c>
      <c r="Y139">
        <f t="shared" si="168"/>
        <v>0.15837357248586448</v>
      </c>
      <c r="Z139">
        <f t="shared" si="169"/>
        <v>0.13910904792758363</v>
      </c>
      <c r="AA139">
        <f t="shared" si="170"/>
        <v>0.28512973994385576</v>
      </c>
      <c r="AB139">
        <f t="shared" si="171"/>
        <v>0.18270930020893866</v>
      </c>
      <c r="AC139">
        <f t="shared" si="172"/>
        <v>0.17755089292967574</v>
      </c>
      <c r="AE139" s="2">
        <f t="shared" si="180"/>
        <v>41030</v>
      </c>
      <c r="AF139" t="s">
        <v>8</v>
      </c>
      <c r="AG139">
        <f t="shared" ref="AG139:AM139" si="187">SQRT(AVERAGE(W128:W139))</f>
        <v>0.16153804979346845</v>
      </c>
      <c r="AH139">
        <f t="shared" si="187"/>
        <v>0.17509780906436309</v>
      </c>
      <c r="AI139">
        <f t="shared" si="187"/>
        <v>0.16325796739185233</v>
      </c>
      <c r="AJ139">
        <f t="shared" si="187"/>
        <v>0.1936073664888022</v>
      </c>
      <c r="AK139">
        <f t="shared" si="187"/>
        <v>0.23251933526054547</v>
      </c>
      <c r="AL139">
        <f t="shared" si="187"/>
        <v>0.20018711062769648</v>
      </c>
      <c r="AM139">
        <f t="shared" si="187"/>
        <v>0.16843943023661259</v>
      </c>
    </row>
    <row r="140" spans="1:39" x14ac:dyDescent="0.3">
      <c r="A140" s="2">
        <f t="shared" si="177"/>
        <v>41061</v>
      </c>
      <c r="B140">
        <v>-8.2670479757407378E-2</v>
      </c>
      <c r="C140">
        <v>-6.9324789697239294E-3</v>
      </c>
      <c r="D140">
        <v>4.696689932368503E-2</v>
      </c>
      <c r="E140">
        <v>-1.0067139497699291E-2</v>
      </c>
      <c r="F140">
        <v>-0.2070321770282213</v>
      </c>
      <c r="G140">
        <v>0.32609430681607732</v>
      </c>
      <c r="H140">
        <v>0.22910323554667511</v>
      </c>
      <c r="I140">
        <v>7.4608373443226239E-2</v>
      </c>
      <c r="K140" s="2">
        <f t="shared" si="178"/>
        <v>41061</v>
      </c>
      <c r="L140" t="s">
        <v>8</v>
      </c>
      <c r="M140">
        <f t="shared" si="174"/>
        <v>7.5738000787683446E-2</v>
      </c>
      <c r="N140">
        <f t="shared" si="161"/>
        <v>0.12963737908109241</v>
      </c>
      <c r="O140">
        <f t="shared" si="162"/>
        <v>7.2603340259708091E-2</v>
      </c>
      <c r="P140">
        <f t="shared" si="163"/>
        <v>0.12436169727081392</v>
      </c>
      <c r="Q140">
        <f t="shared" si="164"/>
        <v>0.4087647865734847</v>
      </c>
      <c r="R140">
        <f t="shared" si="165"/>
        <v>0.31177371530408249</v>
      </c>
      <c r="S140">
        <f t="shared" si="166"/>
        <v>0.15727885320063362</v>
      </c>
      <c r="U140" s="2">
        <f t="shared" si="179"/>
        <v>41061</v>
      </c>
      <c r="V140" t="s">
        <v>8</v>
      </c>
      <c r="W140">
        <f t="shared" si="175"/>
        <v>5.7362447633151382E-3</v>
      </c>
      <c r="X140">
        <f t="shared" si="167"/>
        <v>1.6805850055014854E-2</v>
      </c>
      <c r="Y140">
        <f t="shared" si="168"/>
        <v>5.2712450168669496E-3</v>
      </c>
      <c r="Z140">
        <f t="shared" si="169"/>
        <v>1.5465831748077566E-2</v>
      </c>
      <c r="AA140">
        <f t="shared" si="170"/>
        <v>0.16708865074246648</v>
      </c>
      <c r="AB140">
        <f t="shared" si="171"/>
        <v>9.7202849554511084E-2</v>
      </c>
      <c r="AC140">
        <f t="shared" si="172"/>
        <v>2.473663766410646E-2</v>
      </c>
      <c r="AE140" s="2">
        <f t="shared" si="180"/>
        <v>41061</v>
      </c>
      <c r="AF140" t="s">
        <v>8</v>
      </c>
      <c r="AG140">
        <f t="shared" ref="AG140:AM140" si="188">SQRT(AVERAGE(W129:W140))</f>
        <v>0.15750639924212209</v>
      </c>
      <c r="AH140">
        <f t="shared" si="188"/>
        <v>0.16402998539000074</v>
      </c>
      <c r="AI140">
        <f t="shared" si="188"/>
        <v>0.15888414181665325</v>
      </c>
      <c r="AJ140">
        <f t="shared" si="188"/>
        <v>0.17425069383762404</v>
      </c>
      <c r="AK140">
        <f t="shared" si="188"/>
        <v>0.24276298877148333</v>
      </c>
      <c r="AL140">
        <f t="shared" si="188"/>
        <v>0.18395495443892637</v>
      </c>
      <c r="AM140">
        <f t="shared" si="188"/>
        <v>0.16166956878413616</v>
      </c>
    </row>
    <row r="141" spans="1:39" x14ac:dyDescent="0.3">
      <c r="A141" s="2">
        <f t="shared" si="177"/>
        <v>41091</v>
      </c>
      <c r="B141">
        <v>2.8876823050083541E-2</v>
      </c>
      <c r="C141">
        <v>-6.0626448785267982E-2</v>
      </c>
      <c r="D141">
        <v>6.1061379479036552E-2</v>
      </c>
      <c r="E141">
        <v>-6.0836979343686162E-2</v>
      </c>
      <c r="F141">
        <v>-8.2670479757407378E-2</v>
      </c>
      <c r="G141">
        <v>0.32544547382151617</v>
      </c>
      <c r="H141">
        <v>2.1410517945722209E-2</v>
      </c>
      <c r="I141">
        <v>9.0378150259891862E-2</v>
      </c>
      <c r="K141" s="2">
        <f t="shared" si="178"/>
        <v>41091</v>
      </c>
      <c r="L141" t="s">
        <v>8</v>
      </c>
      <c r="M141">
        <f t="shared" si="174"/>
        <v>8.9503271835351519E-2</v>
      </c>
      <c r="N141">
        <f t="shared" si="161"/>
        <v>3.2184556428953015E-2</v>
      </c>
      <c r="O141">
        <f t="shared" si="162"/>
        <v>8.9713802393769707E-2</v>
      </c>
      <c r="P141">
        <f t="shared" si="163"/>
        <v>0.11154730280749092</v>
      </c>
      <c r="Q141">
        <f t="shared" si="164"/>
        <v>0.29656865077143263</v>
      </c>
      <c r="R141">
        <f t="shared" si="165"/>
        <v>7.4663051043613315E-3</v>
      </c>
      <c r="S141">
        <f t="shared" si="166"/>
        <v>6.1501327209808318E-2</v>
      </c>
      <c r="U141" s="2">
        <f t="shared" si="179"/>
        <v>41091</v>
      </c>
      <c r="V141" t="s">
        <v>8</v>
      </c>
      <c r="W141">
        <f t="shared" si="175"/>
        <v>8.010835669232828E-3</v>
      </c>
      <c r="X141">
        <f t="shared" si="167"/>
        <v>1.035845672528461E-3</v>
      </c>
      <c r="Y141">
        <f t="shared" si="168"/>
        <v>8.0485663399483594E-3</v>
      </c>
      <c r="Z141">
        <f t="shared" si="169"/>
        <v>1.2442800763626072E-2</v>
      </c>
      <c r="AA141">
        <f t="shared" si="170"/>
        <v>8.7952964620387972E-2</v>
      </c>
      <c r="AB141">
        <f t="shared" si="171"/>
        <v>5.5745711911412073E-5</v>
      </c>
      <c r="AC141">
        <f t="shared" si="172"/>
        <v>3.782413248567909E-3</v>
      </c>
      <c r="AE141" s="2">
        <f t="shared" si="180"/>
        <v>41091</v>
      </c>
      <c r="AF141" t="s">
        <v>8</v>
      </c>
      <c r="AG141">
        <f t="shared" ref="AG141:AM141" si="189">SQRT(AVERAGE(W130:W141))</f>
        <v>0.14967404324923977</v>
      </c>
      <c r="AH141">
        <f t="shared" si="189"/>
        <v>0.15874851155127598</v>
      </c>
      <c r="AI141">
        <f t="shared" si="189"/>
        <v>0.15065077139648736</v>
      </c>
      <c r="AJ141">
        <f t="shared" si="189"/>
        <v>0.16029554639647312</v>
      </c>
      <c r="AK141">
        <f t="shared" si="189"/>
        <v>0.2566791053633693</v>
      </c>
      <c r="AL141">
        <f t="shared" si="189"/>
        <v>0.18249017631839606</v>
      </c>
      <c r="AM141">
        <f t="shared" si="189"/>
        <v>0.16047782683925191</v>
      </c>
    </row>
    <row r="142" spans="1:39" x14ac:dyDescent="0.3">
      <c r="A142" s="2">
        <f t="shared" si="177"/>
        <v>41122</v>
      </c>
      <c r="B142">
        <v>0.57927177431231769</v>
      </c>
      <c r="C142">
        <v>0.16039908012345261</v>
      </c>
      <c r="D142">
        <v>0.16544133019815199</v>
      </c>
      <c r="E142">
        <v>0.1561249725505566</v>
      </c>
      <c r="F142">
        <v>2.8876823050083541E-2</v>
      </c>
      <c r="G142">
        <v>0.32497547595975479</v>
      </c>
      <c r="H142">
        <v>7.0766746327706534E-2</v>
      </c>
      <c r="I142">
        <v>0.21257830795909469</v>
      </c>
      <c r="K142" s="2">
        <f t="shared" si="178"/>
        <v>41122</v>
      </c>
      <c r="L142" t="s">
        <v>8</v>
      </c>
      <c r="M142">
        <f t="shared" si="174"/>
        <v>0.41887269418886508</v>
      </c>
      <c r="N142">
        <f t="shared" si="161"/>
        <v>0.4138304441141657</v>
      </c>
      <c r="O142">
        <f t="shared" si="162"/>
        <v>0.42314680176176112</v>
      </c>
      <c r="P142">
        <f t="shared" si="163"/>
        <v>0.55039495126223414</v>
      </c>
      <c r="Q142">
        <f t="shared" si="164"/>
        <v>0.2542962983525629</v>
      </c>
      <c r="R142">
        <f t="shared" si="165"/>
        <v>0.50850502798461117</v>
      </c>
      <c r="S142">
        <f t="shared" si="166"/>
        <v>0.36669346635322297</v>
      </c>
      <c r="U142" s="2">
        <f t="shared" si="179"/>
        <v>41122</v>
      </c>
      <c r="V142" t="s">
        <v>8</v>
      </c>
      <c r="W142">
        <f t="shared" si="175"/>
        <v>0.17545433393703849</v>
      </c>
      <c r="X142">
        <f t="shared" si="167"/>
        <v>0.17125563647572761</v>
      </c>
      <c r="Y142">
        <f t="shared" si="168"/>
        <v>0.17905321584120715</v>
      </c>
      <c r="Z142">
        <f t="shared" si="169"/>
        <v>0.30293460237495712</v>
      </c>
      <c r="AA142">
        <f t="shared" si="170"/>
        <v>6.4666607355815683E-2</v>
      </c>
      <c r="AB142">
        <f t="shared" si="171"/>
        <v>0.25857736348563021</v>
      </c>
      <c r="AC142">
        <f t="shared" si="172"/>
        <v>0.13446409826614228</v>
      </c>
      <c r="AE142" s="2">
        <f t="shared" si="180"/>
        <v>41122</v>
      </c>
      <c r="AF142" t="s">
        <v>8</v>
      </c>
      <c r="AG142">
        <f t="shared" ref="AG142:AM142" si="190">SQRT(AVERAGE(W131:W142))</f>
        <v>0.19119791908986525</v>
      </c>
      <c r="AH142">
        <f t="shared" si="190"/>
        <v>0.1968881794467946</v>
      </c>
      <c r="AI142">
        <f t="shared" si="190"/>
        <v>0.19281165994296398</v>
      </c>
      <c r="AJ142">
        <f t="shared" si="190"/>
        <v>0.22517231653603248</v>
      </c>
      <c r="AK142">
        <f t="shared" si="190"/>
        <v>0.26693930504210728</v>
      </c>
      <c r="AL142">
        <f t="shared" si="190"/>
        <v>0.23159745009951457</v>
      </c>
      <c r="AM142">
        <f t="shared" si="190"/>
        <v>0.19181200809017096</v>
      </c>
    </row>
    <row r="143" spans="1:39" x14ac:dyDescent="0.3">
      <c r="A143" s="2">
        <f t="shared" si="177"/>
        <v>41153</v>
      </c>
      <c r="B143">
        <v>0.47599198634582512</v>
      </c>
      <c r="C143">
        <v>0.31396264865589429</v>
      </c>
      <c r="D143">
        <v>0.2857847933979446</v>
      </c>
      <c r="E143">
        <v>0.31794601660280919</v>
      </c>
      <c r="F143">
        <v>0.57927177431231769</v>
      </c>
      <c r="G143">
        <v>0.32537784352043919</v>
      </c>
      <c r="H143">
        <v>0.1120411525235006</v>
      </c>
      <c r="I143">
        <v>0.30283248259193019</v>
      </c>
      <c r="K143" s="2">
        <f t="shared" si="178"/>
        <v>41153</v>
      </c>
      <c r="L143" t="s">
        <v>8</v>
      </c>
      <c r="M143">
        <f t="shared" si="174"/>
        <v>0.16202933768993083</v>
      </c>
      <c r="N143">
        <f t="shared" si="161"/>
        <v>0.19020719294788052</v>
      </c>
      <c r="O143">
        <f t="shared" si="162"/>
        <v>0.15804596974301593</v>
      </c>
      <c r="P143">
        <f t="shared" si="163"/>
        <v>0.10327978796649256</v>
      </c>
      <c r="Q143">
        <f t="shared" si="164"/>
        <v>0.15061414282538593</v>
      </c>
      <c r="R143">
        <f t="shared" si="165"/>
        <v>0.36395083382232452</v>
      </c>
      <c r="S143">
        <f t="shared" si="166"/>
        <v>0.17315950375389494</v>
      </c>
      <c r="U143" s="2">
        <f t="shared" si="179"/>
        <v>41153</v>
      </c>
      <c r="V143" t="s">
        <v>8</v>
      </c>
      <c r="W143">
        <f t="shared" si="175"/>
        <v>2.6253506272237638E-2</v>
      </c>
      <c r="X143">
        <f t="shared" si="167"/>
        <v>3.6178776249112247E-2</v>
      </c>
      <c r="Y143">
        <f t="shared" si="168"/>
        <v>2.4978528552010309E-2</v>
      </c>
      <c r="Z143">
        <f t="shared" si="169"/>
        <v>1.0666714602403662E-2</v>
      </c>
      <c r="AA143">
        <f t="shared" si="170"/>
        <v>2.2684620019025752E-2</v>
      </c>
      <c r="AB143">
        <f t="shared" si="171"/>
        <v>0.13246020943996528</v>
      </c>
      <c r="AC143">
        <f t="shared" si="172"/>
        <v>2.9984213740295154E-2</v>
      </c>
      <c r="AE143" s="2">
        <f t="shared" si="180"/>
        <v>41153</v>
      </c>
      <c r="AF143" t="s">
        <v>8</v>
      </c>
      <c r="AG143">
        <f t="shared" ref="AG143:AM143" si="191">SQRT(AVERAGE(W132:W143))</f>
        <v>0.19403282956544754</v>
      </c>
      <c r="AH143">
        <f t="shared" si="191"/>
        <v>0.20404062219147631</v>
      </c>
      <c r="AI143">
        <f t="shared" si="191"/>
        <v>0.19510428627523893</v>
      </c>
      <c r="AJ143">
        <f t="shared" si="191"/>
        <v>0.22536777796939686</v>
      </c>
      <c r="AK143">
        <f t="shared" si="191"/>
        <v>0.26851542286621266</v>
      </c>
      <c r="AL143">
        <f t="shared" si="191"/>
        <v>0.25295946333846481</v>
      </c>
      <c r="AM143">
        <f t="shared" si="191"/>
        <v>0.19784323399681578</v>
      </c>
    </row>
    <row r="144" spans="1:39" x14ac:dyDescent="0.3">
      <c r="A144" s="2">
        <f t="shared" si="177"/>
        <v>41183</v>
      </c>
      <c r="B144">
        <v>0.26931647544001791</v>
      </c>
      <c r="C144">
        <v>0.26727835582956172</v>
      </c>
      <c r="D144">
        <v>0.28507791775329172</v>
      </c>
      <c r="E144">
        <v>0.27252301468429951</v>
      </c>
      <c r="F144">
        <v>0.47599198634582512</v>
      </c>
      <c r="G144">
        <v>0.32561578055491852</v>
      </c>
      <c r="H144">
        <v>0.35994947611845801</v>
      </c>
      <c r="I144">
        <v>0.28284266467376268</v>
      </c>
      <c r="K144" s="2">
        <f t="shared" si="178"/>
        <v>41183</v>
      </c>
      <c r="L144" t="s">
        <v>8</v>
      </c>
      <c r="M144">
        <f t="shared" si="174"/>
        <v>2.0381196104561905E-3</v>
      </c>
      <c r="N144">
        <f t="shared" si="161"/>
        <v>1.576144231327381E-2</v>
      </c>
      <c r="O144">
        <f t="shared" si="162"/>
        <v>3.2065392442816032E-3</v>
      </c>
      <c r="P144">
        <f t="shared" si="163"/>
        <v>0.20667551090580721</v>
      </c>
      <c r="Q144">
        <f t="shared" si="164"/>
        <v>5.6299305114900611E-2</v>
      </c>
      <c r="R144">
        <f t="shared" si="165"/>
        <v>9.0633000678440101E-2</v>
      </c>
      <c r="S144">
        <f t="shared" si="166"/>
        <v>1.3526189233744768E-2</v>
      </c>
      <c r="U144" s="2">
        <f t="shared" si="179"/>
        <v>41183</v>
      </c>
      <c r="V144" t="s">
        <v>8</v>
      </c>
      <c r="W144">
        <f t="shared" si="175"/>
        <v>4.1539315465260939E-6</v>
      </c>
      <c r="X144">
        <f t="shared" si="167"/>
        <v>2.4842306379465809E-4</v>
      </c>
      <c r="Y144">
        <f t="shared" si="168"/>
        <v>1.0281893925118035E-5</v>
      </c>
      <c r="Z144">
        <f t="shared" si="169"/>
        <v>4.2714766808176437E-2</v>
      </c>
      <c r="AA144">
        <f t="shared" si="170"/>
        <v>3.1696117564206741E-3</v>
      </c>
      <c r="AB144">
        <f t="shared" si="171"/>
        <v>8.2143408119781242E-3</v>
      </c>
      <c r="AC144">
        <f t="shared" si="172"/>
        <v>1.8295779518707285E-4</v>
      </c>
      <c r="AE144" s="2">
        <f t="shared" si="180"/>
        <v>41183</v>
      </c>
      <c r="AF144" t="s">
        <v>8</v>
      </c>
      <c r="AG144">
        <f t="shared" ref="AG144:AM144" si="192">SQRT(AVERAGE(W133:W144))</f>
        <v>0.19096807404501501</v>
      </c>
      <c r="AH144">
        <f t="shared" si="192"/>
        <v>0.20038283939606563</v>
      </c>
      <c r="AI144">
        <f t="shared" si="192"/>
        <v>0.19216613955763662</v>
      </c>
      <c r="AJ144">
        <f t="shared" si="192"/>
        <v>0.22910616949348647</v>
      </c>
      <c r="AK144">
        <f t="shared" si="192"/>
        <v>0.25821471346580116</v>
      </c>
      <c r="AL144">
        <f t="shared" si="192"/>
        <v>0.24478597382176293</v>
      </c>
      <c r="AM144">
        <f t="shared" si="192"/>
        <v>0.19067290656751909</v>
      </c>
    </row>
    <row r="145" spans="1:39" x14ac:dyDescent="0.3">
      <c r="A145" s="2">
        <f t="shared" si="177"/>
        <v>41214</v>
      </c>
      <c r="B145">
        <v>-0.16807561740774801</v>
      </c>
      <c r="C145">
        <v>9.6152087188927357E-2</v>
      </c>
      <c r="D145">
        <v>0.1708350756083194</v>
      </c>
      <c r="E145">
        <v>9.2611858910961992E-2</v>
      </c>
      <c r="F145">
        <v>0.26931647544001791</v>
      </c>
      <c r="G145">
        <v>0.3255269803891222</v>
      </c>
      <c r="H145">
        <v>0.34571374559989082</v>
      </c>
      <c r="I145">
        <v>0.18525049537478161</v>
      </c>
      <c r="K145" s="2">
        <f t="shared" si="178"/>
        <v>41214</v>
      </c>
      <c r="L145" t="s">
        <v>8</v>
      </c>
      <c r="M145">
        <f t="shared" si="174"/>
        <v>0.26422770459667538</v>
      </c>
      <c r="N145">
        <f t="shared" si="161"/>
        <v>0.33891069301606741</v>
      </c>
      <c r="O145">
        <f t="shared" si="162"/>
        <v>0.26068747631871003</v>
      </c>
      <c r="P145">
        <f t="shared" si="163"/>
        <v>0.43739209284776592</v>
      </c>
      <c r="Q145">
        <f t="shared" si="164"/>
        <v>0.49360259779687021</v>
      </c>
      <c r="R145">
        <f t="shared" si="165"/>
        <v>0.51378936300763889</v>
      </c>
      <c r="S145">
        <f t="shared" si="166"/>
        <v>0.35332611278252962</v>
      </c>
      <c r="U145" s="2">
        <f t="shared" si="179"/>
        <v>41214</v>
      </c>
      <c r="V145" t="s">
        <v>8</v>
      </c>
      <c r="W145">
        <f t="shared" si="175"/>
        <v>6.9816279876427953E-2</v>
      </c>
      <c r="X145">
        <f t="shared" si="167"/>
        <v>0.11486045784063108</v>
      </c>
      <c r="Y145">
        <f t="shared" si="168"/>
        <v>6.7957960309418003E-2</v>
      </c>
      <c r="Z145">
        <f t="shared" si="169"/>
        <v>0.19131184288574868</v>
      </c>
      <c r="AA145">
        <f t="shared" si="170"/>
        <v>0.24364352455181881</v>
      </c>
      <c r="AB145">
        <f t="shared" si="171"/>
        <v>0.26397950953979532</v>
      </c>
      <c r="AC145">
        <f t="shared" si="172"/>
        <v>0.12483934197401285</v>
      </c>
      <c r="AE145" s="2">
        <f t="shared" si="180"/>
        <v>41214</v>
      </c>
      <c r="AF145" t="s">
        <v>8</v>
      </c>
      <c r="AG145">
        <f t="shared" ref="AG145:AM145" si="193">SQRT(AVERAGE(W134:W145))</f>
        <v>0.20562387260263815</v>
      </c>
      <c r="AH145">
        <f t="shared" si="193"/>
        <v>0.22292631287668241</v>
      </c>
      <c r="AI145">
        <f t="shared" si="193"/>
        <v>0.20637539778010405</v>
      </c>
      <c r="AJ145">
        <f t="shared" si="193"/>
        <v>0.25940174863618659</v>
      </c>
      <c r="AK145">
        <f t="shared" si="193"/>
        <v>0.29198652017658527</v>
      </c>
      <c r="AL145">
        <f t="shared" si="193"/>
        <v>0.28597606055685593</v>
      </c>
      <c r="AM145">
        <f t="shared" si="193"/>
        <v>0.21578315744443877</v>
      </c>
    </row>
    <row r="146" spans="1:39" x14ac:dyDescent="0.3">
      <c r="A146" s="2">
        <f t="shared" si="177"/>
        <v>41244</v>
      </c>
      <c r="B146">
        <v>-1.210889356464406E-2</v>
      </c>
      <c r="C146">
        <v>2.1462099669389081E-2</v>
      </c>
      <c r="D146">
        <v>0.1014667361296403</v>
      </c>
      <c r="E146">
        <v>2.722661152676055E-2</v>
      </c>
      <c r="F146">
        <v>-0.16807561740774801</v>
      </c>
      <c r="G146">
        <v>0.3247496534634578</v>
      </c>
      <c r="H146">
        <v>0.27229681453093191</v>
      </c>
      <c r="I146">
        <v>7.7836208485066935E-2</v>
      </c>
      <c r="K146" s="2">
        <f t="shared" si="178"/>
        <v>41244</v>
      </c>
      <c r="L146" t="s">
        <v>8</v>
      </c>
      <c r="M146">
        <f t="shared" si="174"/>
        <v>3.357099323403314E-2</v>
      </c>
      <c r="N146">
        <f t="shared" si="161"/>
        <v>0.11357562969428436</v>
      </c>
      <c r="O146">
        <f t="shared" si="162"/>
        <v>3.9335505091404613E-2</v>
      </c>
      <c r="P146">
        <f t="shared" si="163"/>
        <v>0.15596672384310395</v>
      </c>
      <c r="Q146">
        <f t="shared" si="164"/>
        <v>0.33685854702810186</v>
      </c>
      <c r="R146">
        <f t="shared" si="165"/>
        <v>0.28440570809557597</v>
      </c>
      <c r="S146">
        <f t="shared" si="166"/>
        <v>8.9945102049710998E-2</v>
      </c>
      <c r="U146" s="2">
        <f t="shared" si="179"/>
        <v>41244</v>
      </c>
      <c r="V146" t="s">
        <v>8</v>
      </c>
      <c r="W146">
        <f t="shared" si="175"/>
        <v>1.127011586719499E-3</v>
      </c>
      <c r="X146">
        <f t="shared" si="167"/>
        <v>1.2899423660453208E-2</v>
      </c>
      <c r="Y146">
        <f t="shared" si="168"/>
        <v>1.5472819607959183E-3</v>
      </c>
      <c r="Z146">
        <f t="shared" si="169"/>
        <v>2.432561894635105E-2</v>
      </c>
      <c r="AA146">
        <f t="shared" si="170"/>
        <v>0.11347368070588391</v>
      </c>
      <c r="AB146">
        <f t="shared" si="171"/>
        <v>8.0886606797345967E-2</v>
      </c>
      <c r="AC146">
        <f t="shared" si="172"/>
        <v>8.0901213827329257E-3</v>
      </c>
      <c r="AE146" s="2">
        <f t="shared" si="180"/>
        <v>41244</v>
      </c>
      <c r="AF146" t="s">
        <v>8</v>
      </c>
      <c r="AG146">
        <f t="shared" ref="AG146:AM146" si="194">SQRT(AVERAGE(W135:W146))</f>
        <v>0.19948669103154726</v>
      </c>
      <c r="AH146">
        <f t="shared" si="194"/>
        <v>0.21785203788243698</v>
      </c>
      <c r="AI146">
        <f t="shared" si="194"/>
        <v>0.20097406090891728</v>
      </c>
      <c r="AJ146">
        <f t="shared" si="194"/>
        <v>0.25915330732319491</v>
      </c>
      <c r="AK146">
        <f t="shared" si="194"/>
        <v>0.29494353931930006</v>
      </c>
      <c r="AL146">
        <f t="shared" si="194"/>
        <v>0.29395083051641541</v>
      </c>
      <c r="AM146">
        <f t="shared" si="194"/>
        <v>0.20793039520280657</v>
      </c>
    </row>
    <row r="147" spans="1:39" x14ac:dyDescent="0.3">
      <c r="A147" s="2">
        <f t="shared" si="177"/>
        <v>41275</v>
      </c>
      <c r="B147">
        <v>0.19788297664797841</v>
      </c>
      <c r="C147">
        <v>0.1135830915266713</v>
      </c>
      <c r="D147">
        <v>0.17426358468862421</v>
      </c>
      <c r="E147">
        <v>0.12256277337016901</v>
      </c>
      <c r="F147">
        <v>-1.210889356464406E-2</v>
      </c>
      <c r="G147">
        <v>0.32422000165995452</v>
      </c>
      <c r="H147">
        <v>0.1093232949534876</v>
      </c>
      <c r="I147">
        <v>0.25402608566575519</v>
      </c>
      <c r="K147" s="2">
        <f t="shared" si="178"/>
        <v>41275</v>
      </c>
      <c r="L147" t="s">
        <v>8</v>
      </c>
      <c r="M147">
        <f t="shared" si="174"/>
        <v>8.4299885121307108E-2</v>
      </c>
      <c r="N147">
        <f t="shared" si="161"/>
        <v>2.3619391959354197E-2</v>
      </c>
      <c r="O147">
        <f t="shared" si="162"/>
        <v>7.5320203277809403E-2</v>
      </c>
      <c r="P147">
        <f t="shared" si="163"/>
        <v>0.20999187021262247</v>
      </c>
      <c r="Q147">
        <f t="shared" si="164"/>
        <v>0.12633702501197611</v>
      </c>
      <c r="R147">
        <f t="shared" si="165"/>
        <v>8.8559681694490813E-2</v>
      </c>
      <c r="S147">
        <f t="shared" si="166"/>
        <v>5.6143109017776777E-2</v>
      </c>
      <c r="U147" s="2">
        <f t="shared" si="179"/>
        <v>41275</v>
      </c>
      <c r="V147" t="s">
        <v>8</v>
      </c>
      <c r="W147">
        <f t="shared" si="175"/>
        <v>7.1064706314655753E-3</v>
      </c>
      <c r="X147">
        <f t="shared" si="167"/>
        <v>5.5787567652960566E-4</v>
      </c>
      <c r="Y147">
        <f t="shared" si="168"/>
        <v>5.6731330218105303E-3</v>
      </c>
      <c r="Z147">
        <f t="shared" si="169"/>
        <v>4.4096585555394884E-2</v>
      </c>
      <c r="AA147">
        <f t="shared" si="170"/>
        <v>1.5961043888876675E-2</v>
      </c>
      <c r="AB147">
        <f t="shared" si="171"/>
        <v>7.8428172218295306E-3</v>
      </c>
      <c r="AC147">
        <f t="shared" si="172"/>
        <v>3.1520486901819682E-3</v>
      </c>
      <c r="AE147" s="2">
        <f t="shared" si="180"/>
        <v>41275</v>
      </c>
      <c r="AF147" t="s">
        <v>8</v>
      </c>
      <c r="AG147">
        <f t="shared" ref="AG147:AM147" si="195">SQRT(AVERAGE(W136:W147))</f>
        <v>0.19521388289520705</v>
      </c>
      <c r="AH147">
        <f t="shared" si="195"/>
        <v>0.21611973963680325</v>
      </c>
      <c r="AI147">
        <f t="shared" si="195"/>
        <v>0.19600279496414494</v>
      </c>
      <c r="AJ147">
        <f t="shared" si="195"/>
        <v>0.25631658091879206</v>
      </c>
      <c r="AK147">
        <f t="shared" si="195"/>
        <v>0.29675590464073548</v>
      </c>
      <c r="AL147">
        <f t="shared" si="195"/>
        <v>0.29493093869435083</v>
      </c>
      <c r="AM147">
        <f t="shared" si="195"/>
        <v>0.20761659137647701</v>
      </c>
    </row>
    <row r="148" spans="1:39" x14ac:dyDescent="0.3">
      <c r="A148" s="2">
        <f t="shared" si="177"/>
        <v>41306</v>
      </c>
      <c r="B148">
        <v>0.54152378489549235</v>
      </c>
      <c r="C148">
        <v>0.2368638735671848</v>
      </c>
      <c r="D148">
        <v>0.33367275409118619</v>
      </c>
      <c r="E148">
        <v>0.2312743762998449</v>
      </c>
      <c r="F148">
        <v>0.19788297664797841</v>
      </c>
      <c r="G148">
        <v>0.32402167038050078</v>
      </c>
      <c r="H148">
        <v>0.15703982549447659</v>
      </c>
      <c r="I148">
        <v>0.27513879537404973</v>
      </c>
      <c r="K148" s="2">
        <f t="shared" si="178"/>
        <v>41306</v>
      </c>
      <c r="L148" t="s">
        <v>8</v>
      </c>
      <c r="M148">
        <f t="shared" si="174"/>
        <v>0.30465991132830755</v>
      </c>
      <c r="N148">
        <f t="shared" si="161"/>
        <v>0.20785103080430617</v>
      </c>
      <c r="O148">
        <f t="shared" si="162"/>
        <v>0.31024940859564742</v>
      </c>
      <c r="P148">
        <f t="shared" si="163"/>
        <v>0.34364080824751397</v>
      </c>
      <c r="Q148">
        <f t="shared" si="164"/>
        <v>0.21750211451499157</v>
      </c>
      <c r="R148">
        <f t="shared" si="165"/>
        <v>0.38448395940101576</v>
      </c>
      <c r="S148">
        <f t="shared" si="166"/>
        <v>0.26638498952144263</v>
      </c>
      <c r="U148" s="2">
        <f t="shared" si="179"/>
        <v>41306</v>
      </c>
      <c r="V148" t="s">
        <v>8</v>
      </c>
      <c r="W148">
        <f t="shared" si="175"/>
        <v>9.2817661570572224E-2</v>
      </c>
      <c r="X148">
        <f t="shared" si="167"/>
        <v>4.3202051006412633E-2</v>
      </c>
      <c r="Y148">
        <f t="shared" si="168"/>
        <v>9.6254695533948983E-2</v>
      </c>
      <c r="Z148">
        <f t="shared" si="169"/>
        <v>0.11808900509300467</v>
      </c>
      <c r="AA148">
        <f t="shared" si="170"/>
        <v>4.7307169818492506E-2</v>
      </c>
      <c r="AB148">
        <f t="shared" si="171"/>
        <v>0.14782791503668194</v>
      </c>
      <c r="AC148">
        <f t="shared" si="172"/>
        <v>7.0960962642339101E-2</v>
      </c>
      <c r="AE148" s="2">
        <f t="shared" si="180"/>
        <v>41306</v>
      </c>
      <c r="AF148" t="s">
        <v>8</v>
      </c>
      <c r="AG148">
        <f t="shared" ref="AG148:AM148" si="196">SQRT(AVERAGE(W137:W148))</f>
        <v>0.21370025978175791</v>
      </c>
      <c r="AH148">
        <f t="shared" si="196"/>
        <v>0.223989101338392</v>
      </c>
      <c r="AI148">
        <f t="shared" si="196"/>
        <v>0.21508795654765056</v>
      </c>
      <c r="AJ148">
        <f t="shared" si="196"/>
        <v>0.27432359276365476</v>
      </c>
      <c r="AK148">
        <f t="shared" si="196"/>
        <v>0.30153324650452507</v>
      </c>
      <c r="AL148">
        <f t="shared" si="196"/>
        <v>0.31438019556618296</v>
      </c>
      <c r="AM148">
        <f t="shared" si="196"/>
        <v>0.22088226026718741</v>
      </c>
    </row>
    <row r="149" spans="1:39" x14ac:dyDescent="0.3">
      <c r="A149" s="2">
        <f t="shared" si="177"/>
        <v>41334</v>
      </c>
      <c r="B149">
        <v>-0.28158799739523838</v>
      </c>
      <c r="C149">
        <v>0.26918120000718071</v>
      </c>
      <c r="D149">
        <v>0.30914184725987598</v>
      </c>
      <c r="E149">
        <v>0.28606127068499432</v>
      </c>
      <c r="F149">
        <v>0.54152378489549235</v>
      </c>
      <c r="G149">
        <v>0.32436258278569668</v>
      </c>
      <c r="H149">
        <v>0.22694246425396819</v>
      </c>
      <c r="I149">
        <v>0.32232835672651372</v>
      </c>
      <c r="K149" s="2">
        <f t="shared" si="178"/>
        <v>41334</v>
      </c>
      <c r="L149" t="s">
        <v>8</v>
      </c>
      <c r="M149">
        <f t="shared" si="174"/>
        <v>0.55076919740241914</v>
      </c>
      <c r="N149">
        <f t="shared" si="161"/>
        <v>0.59072984465511436</v>
      </c>
      <c r="O149">
        <f t="shared" si="162"/>
        <v>0.56764926808023275</v>
      </c>
      <c r="P149">
        <f t="shared" si="163"/>
        <v>0.82311178229073079</v>
      </c>
      <c r="Q149">
        <f t="shared" si="164"/>
        <v>0.60595058018093506</v>
      </c>
      <c r="R149">
        <f t="shared" si="165"/>
        <v>0.50853046164920657</v>
      </c>
      <c r="S149">
        <f t="shared" si="166"/>
        <v>0.60391635412175204</v>
      </c>
      <c r="U149" s="2">
        <f t="shared" si="179"/>
        <v>41334</v>
      </c>
      <c r="V149" t="s">
        <v>8</v>
      </c>
      <c r="W149">
        <f t="shared" si="175"/>
        <v>0.30334670880730497</v>
      </c>
      <c r="X149">
        <f t="shared" si="167"/>
        <v>0.34896174936625551</v>
      </c>
      <c r="Y149">
        <f t="shared" si="168"/>
        <v>0.32222569155202396</v>
      </c>
      <c r="Z149">
        <f t="shared" si="169"/>
        <v>0.67751300614582344</v>
      </c>
      <c r="AA149">
        <f t="shared" si="170"/>
        <v>0.36717610562161179</v>
      </c>
      <c r="AB149">
        <f t="shared" si="171"/>
        <v>0.25860323042515515</v>
      </c>
      <c r="AC149">
        <f t="shared" si="172"/>
        <v>0.36471496277570942</v>
      </c>
      <c r="AE149" s="2">
        <f t="shared" si="180"/>
        <v>41334</v>
      </c>
      <c r="AF149" t="s">
        <v>8</v>
      </c>
      <c r="AG149">
        <f t="shared" ref="AG149:AM149" si="197">SQRT(AVERAGE(W138:W149))</f>
        <v>0.26592228934838846</v>
      </c>
      <c r="AH149">
        <f t="shared" si="197"/>
        <v>0.27963933651085632</v>
      </c>
      <c r="AI149">
        <f t="shared" si="197"/>
        <v>0.26985358329262332</v>
      </c>
      <c r="AJ149">
        <f t="shared" si="197"/>
        <v>0.36292044027272852</v>
      </c>
      <c r="AK149">
        <f t="shared" si="197"/>
        <v>0.34692196103582768</v>
      </c>
      <c r="AL149">
        <f t="shared" si="197"/>
        <v>0.34678191279839699</v>
      </c>
      <c r="AM149">
        <f t="shared" si="197"/>
        <v>0.2810658276721712</v>
      </c>
    </row>
    <row r="150" spans="1:39" x14ac:dyDescent="0.3">
      <c r="A150" s="2">
        <f t="shared" si="177"/>
        <v>41365</v>
      </c>
      <c r="B150">
        <v>-0.20901621343405449</v>
      </c>
      <c r="C150">
        <v>4.079692346946219E-2</v>
      </c>
      <c r="D150">
        <v>4.0097750970340941E-2</v>
      </c>
      <c r="E150">
        <v>3.7588116123964267E-2</v>
      </c>
      <c r="F150">
        <v>-0.28158799739523838</v>
      </c>
      <c r="G150">
        <v>0.32341430331749499</v>
      </c>
      <c r="H150">
        <v>0.3491316394651261</v>
      </c>
      <c r="I150">
        <v>3.3628302245266972E-2</v>
      </c>
      <c r="K150" s="2">
        <f t="shared" si="178"/>
        <v>41365</v>
      </c>
      <c r="L150" t="s">
        <v>8</v>
      </c>
      <c r="M150">
        <f t="shared" si="174"/>
        <v>0.2498131369035167</v>
      </c>
      <c r="N150">
        <f t="shared" si="161"/>
        <v>0.24911396440439543</v>
      </c>
      <c r="O150">
        <f t="shared" si="162"/>
        <v>0.24660432955801875</v>
      </c>
      <c r="P150">
        <f t="shared" si="163"/>
        <v>7.2571783961183883E-2</v>
      </c>
      <c r="Q150">
        <f t="shared" si="164"/>
        <v>0.53243051675154951</v>
      </c>
      <c r="R150">
        <f t="shared" si="165"/>
        <v>0.55814785289918056</v>
      </c>
      <c r="S150">
        <f t="shared" si="166"/>
        <v>0.24264451567932147</v>
      </c>
      <c r="U150" s="2">
        <f t="shared" si="179"/>
        <v>41365</v>
      </c>
      <c r="V150" t="s">
        <v>8</v>
      </c>
      <c r="W150">
        <f t="shared" si="175"/>
        <v>6.2406603369575174E-2</v>
      </c>
      <c r="X150">
        <f t="shared" si="167"/>
        <v>6.2057767261274391E-2</v>
      </c>
      <c r="Y150">
        <f t="shared" si="168"/>
        <v>6.0813695356759921E-2</v>
      </c>
      <c r="Z150">
        <f t="shared" si="169"/>
        <v>5.2666638273087462E-3</v>
      </c>
      <c r="AA150">
        <f t="shared" si="170"/>
        <v>0.28348225516832204</v>
      </c>
      <c r="AB150">
        <f t="shared" si="171"/>
        <v>0.3115290256959653</v>
      </c>
      <c r="AC150">
        <f t="shared" si="172"/>
        <v>5.8876360989252481E-2</v>
      </c>
      <c r="AE150" s="2">
        <f t="shared" si="180"/>
        <v>41365</v>
      </c>
      <c r="AF150" t="s">
        <v>8</v>
      </c>
      <c r="AG150">
        <f t="shared" ref="AG150:AM150" si="198">SQRT(AVERAGE(W139:W150))</f>
        <v>0.27485941915299572</v>
      </c>
      <c r="AH150">
        <f t="shared" si="198"/>
        <v>0.28758002635019952</v>
      </c>
      <c r="AI150">
        <f t="shared" si="198"/>
        <v>0.2784193282120484</v>
      </c>
      <c r="AJ150">
        <f t="shared" si="198"/>
        <v>0.36331075847434613</v>
      </c>
      <c r="AK150">
        <f t="shared" si="198"/>
        <v>0.3765784528922867</v>
      </c>
      <c r="AL150">
        <f t="shared" si="198"/>
        <v>0.38186918723668839</v>
      </c>
      <c r="AM150">
        <f t="shared" si="198"/>
        <v>0.28886776272460196</v>
      </c>
    </row>
    <row r="151" spans="1:39" x14ac:dyDescent="0.3">
      <c r="A151" s="2">
        <f t="shared" si="177"/>
        <v>41395</v>
      </c>
      <c r="B151">
        <v>4.1406975078839281E-2</v>
      </c>
      <c r="C151">
        <v>7.0538451263463295E-2</v>
      </c>
      <c r="D151">
        <v>3.1976350290062759E-2</v>
      </c>
      <c r="E151">
        <v>7.1653886630206096E-2</v>
      </c>
      <c r="F151">
        <v>-0.20901621343405449</v>
      </c>
      <c r="G151">
        <v>0.32258238063507072</v>
      </c>
      <c r="H151">
        <v>-4.8433400623130327E-2</v>
      </c>
      <c r="I151">
        <v>5.4383632192946708E-2</v>
      </c>
      <c r="K151" s="2">
        <f t="shared" si="178"/>
        <v>41395</v>
      </c>
      <c r="L151" t="s">
        <v>8</v>
      </c>
      <c r="M151">
        <f t="shared" si="174"/>
        <v>2.9131476184624014E-2</v>
      </c>
      <c r="N151">
        <f t="shared" si="161"/>
        <v>9.4306247887765218E-3</v>
      </c>
      <c r="O151">
        <f t="shared" si="162"/>
        <v>3.0246911551366815E-2</v>
      </c>
      <c r="P151">
        <f t="shared" si="163"/>
        <v>0.2504231885128938</v>
      </c>
      <c r="Q151">
        <f t="shared" si="164"/>
        <v>0.28117540555623144</v>
      </c>
      <c r="R151">
        <f t="shared" si="165"/>
        <v>8.9840375701969608E-2</v>
      </c>
      <c r="S151">
        <f t="shared" si="166"/>
        <v>1.2976657114107427E-2</v>
      </c>
      <c r="U151" s="2">
        <f t="shared" si="179"/>
        <v>41395</v>
      </c>
      <c r="V151" t="s">
        <v>8</v>
      </c>
      <c r="W151">
        <f t="shared" si="175"/>
        <v>8.486429046953161E-4</v>
      </c>
      <c r="X151">
        <f t="shared" si="167"/>
        <v>8.893668390668621E-5</v>
      </c>
      <c r="Y151">
        <f t="shared" si="168"/>
        <v>9.1487565839620724E-4</v>
      </c>
      <c r="Z151">
        <f t="shared" si="169"/>
        <v>6.2711773344964347E-2</v>
      </c>
      <c r="AA151">
        <f t="shared" si="170"/>
        <v>7.9059608689711222E-2</v>
      </c>
      <c r="AB151">
        <f t="shared" si="171"/>
        <v>8.0712931062710512E-3</v>
      </c>
      <c r="AC151">
        <f t="shared" si="172"/>
        <v>1.683936298571149E-4</v>
      </c>
      <c r="AE151" s="2">
        <f t="shared" si="180"/>
        <v>41395</v>
      </c>
      <c r="AF151" t="s">
        <v>8</v>
      </c>
      <c r="AG151">
        <f t="shared" ref="AG151:AM151" si="199">SQRT(AVERAGE(W140:W151))</f>
        <v>0.250487600045746</v>
      </c>
      <c r="AH151">
        <f t="shared" si="199"/>
        <v>0.25951120608617928</v>
      </c>
      <c r="AI151">
        <f t="shared" si="199"/>
        <v>0.25376320508121863</v>
      </c>
      <c r="AJ151">
        <f t="shared" si="199"/>
        <v>0.35444078161895121</v>
      </c>
      <c r="AK151">
        <f t="shared" si="199"/>
        <v>0.35304223578051225</v>
      </c>
      <c r="AL151">
        <f t="shared" si="199"/>
        <v>0.36231327453221113</v>
      </c>
      <c r="AM151">
        <f t="shared" si="199"/>
        <v>0.26203570252899772</v>
      </c>
    </row>
    <row r="152" spans="1:39" x14ac:dyDescent="0.3">
      <c r="A152" s="2">
        <f t="shared" si="177"/>
        <v>41426</v>
      </c>
      <c r="B152">
        <v>0.2377579521954942</v>
      </c>
      <c r="C152">
        <v>0.1234195375186006</v>
      </c>
      <c r="D152">
        <v>0.15011965668666929</v>
      </c>
      <c r="E152">
        <v>0.1226981770458207</v>
      </c>
      <c r="F152">
        <v>4.1406975078839281E-2</v>
      </c>
      <c r="G152">
        <v>0.32214372945635578</v>
      </c>
      <c r="H152">
        <v>1.8221634519677048E-2</v>
      </c>
      <c r="I152">
        <v>0.26664319634831529</v>
      </c>
      <c r="K152" s="2">
        <f t="shared" si="178"/>
        <v>41426</v>
      </c>
      <c r="L152" t="s">
        <v>8</v>
      </c>
      <c r="M152">
        <f t="shared" si="174"/>
        <v>0.1143384146768936</v>
      </c>
      <c r="N152">
        <f t="shared" si="161"/>
        <v>8.7638295508824904E-2</v>
      </c>
      <c r="O152">
        <f t="shared" si="162"/>
        <v>0.1150597751496735</v>
      </c>
      <c r="P152">
        <f t="shared" si="163"/>
        <v>0.19635097711665492</v>
      </c>
      <c r="Q152">
        <f t="shared" si="164"/>
        <v>8.4385777260861577E-2</v>
      </c>
      <c r="R152">
        <f t="shared" si="165"/>
        <v>0.21953631767581716</v>
      </c>
      <c r="S152">
        <f t="shared" si="166"/>
        <v>2.8885244152821093E-2</v>
      </c>
      <c r="U152" s="2">
        <f t="shared" si="179"/>
        <v>41426</v>
      </c>
      <c r="V152" t="s">
        <v>8</v>
      </c>
      <c r="W152">
        <f t="shared" si="175"/>
        <v>1.3073273070825276E-2</v>
      </c>
      <c r="X152">
        <f t="shared" si="167"/>
        <v>7.6804708396921197E-3</v>
      </c>
      <c r="Y152">
        <f t="shared" si="168"/>
        <v>1.3238751857493423E-2</v>
      </c>
      <c r="Z152">
        <f t="shared" si="169"/>
        <v>3.855370621466514E-2</v>
      </c>
      <c r="AA152">
        <f t="shared" si="170"/>
        <v>7.1209594039197428E-3</v>
      </c>
      <c r="AB152">
        <f t="shared" si="171"/>
        <v>4.819619477865731E-2</v>
      </c>
      <c r="AC152">
        <f t="shared" si="172"/>
        <v>8.3435732976808522E-4</v>
      </c>
      <c r="AE152" s="2">
        <f t="shared" si="180"/>
        <v>41426</v>
      </c>
      <c r="AF152" t="s">
        <v>8</v>
      </c>
      <c r="AG152">
        <f t="shared" ref="AG152:AM152" si="200">SQRT(AVERAGE(W141:W152))</f>
        <v>0.25170509888022424</v>
      </c>
      <c r="AH152">
        <f t="shared" si="200"/>
        <v>0.25804189159196583</v>
      </c>
      <c r="AI152">
        <f t="shared" si="200"/>
        <v>0.25506807553372524</v>
      </c>
      <c r="AJ152">
        <f t="shared" si="200"/>
        <v>0.3571445886661806</v>
      </c>
      <c r="AK152">
        <f t="shared" si="200"/>
        <v>0.33362880466174361</v>
      </c>
      <c r="AL152">
        <f t="shared" si="200"/>
        <v>0.35663289388987318</v>
      </c>
      <c r="AM152">
        <f t="shared" si="200"/>
        <v>0.25820699584894519</v>
      </c>
    </row>
    <row r="153" spans="1:39" x14ac:dyDescent="0.3">
      <c r="A153" s="2">
        <f t="shared" si="177"/>
        <v>41456</v>
      </c>
      <c r="B153">
        <v>0.1955538987195915</v>
      </c>
      <c r="C153">
        <v>8.7813373509150847E-2</v>
      </c>
      <c r="D153">
        <v>0.1535549072198063</v>
      </c>
      <c r="E153">
        <v>8.7414156242045807E-2</v>
      </c>
      <c r="F153">
        <v>0.2377579521954942</v>
      </c>
      <c r="G153">
        <v>0.32201228743570032</v>
      </c>
      <c r="H153">
        <v>0.1765128225853628</v>
      </c>
      <c r="I153">
        <v>0.24512208031013921</v>
      </c>
      <c r="K153" s="2">
        <f t="shared" si="178"/>
        <v>41456</v>
      </c>
      <c r="L153" t="s">
        <v>8</v>
      </c>
      <c r="M153">
        <f t="shared" si="174"/>
        <v>0.10774052521044065</v>
      </c>
      <c r="N153">
        <f t="shared" si="161"/>
        <v>4.1998991499785199E-2</v>
      </c>
      <c r="O153">
        <f t="shared" si="162"/>
        <v>0.10813974247754569</v>
      </c>
      <c r="P153">
        <f t="shared" si="163"/>
        <v>4.2204053475902698E-2</v>
      </c>
      <c r="Q153">
        <f t="shared" si="164"/>
        <v>0.12645838871610882</v>
      </c>
      <c r="R153">
        <f t="shared" si="165"/>
        <v>1.9041076134228702E-2</v>
      </c>
      <c r="S153">
        <f t="shared" si="166"/>
        <v>4.9568181590547711E-2</v>
      </c>
      <c r="U153" s="2">
        <f t="shared" si="179"/>
        <v>41456</v>
      </c>
      <c r="V153" t="s">
        <v>8</v>
      </c>
      <c r="W153">
        <f t="shared" si="175"/>
        <v>1.1608020772621599E-2</v>
      </c>
      <c r="X153">
        <f t="shared" si="167"/>
        <v>1.7639152869990294E-3</v>
      </c>
      <c r="Y153">
        <f t="shared" si="168"/>
        <v>1.1694203903109901E-2</v>
      </c>
      <c r="Z153">
        <f t="shared" si="169"/>
        <v>1.7811821297968545E-3</v>
      </c>
      <c r="AA153">
        <f t="shared" si="170"/>
        <v>1.5991724076674478E-2</v>
      </c>
      <c r="AB153">
        <f t="shared" si="171"/>
        <v>3.6256258034949386E-4</v>
      </c>
      <c r="AC153">
        <f t="shared" si="172"/>
        <v>2.4570046261935129E-3</v>
      </c>
      <c r="AE153" s="2">
        <f t="shared" si="180"/>
        <v>41456</v>
      </c>
      <c r="AF153" t="s">
        <v>8</v>
      </c>
      <c r="AG153">
        <f t="shared" ref="AG153:AM153" si="201">SQRT(AVERAGE(W142:W153))</f>
        <v>0.25229986569078044</v>
      </c>
      <c r="AH153">
        <f t="shared" si="201"/>
        <v>0.25815942803669284</v>
      </c>
      <c r="AI153">
        <f t="shared" si="201"/>
        <v>0.25566291535289515</v>
      </c>
      <c r="AJ153">
        <f t="shared" si="201"/>
        <v>0.35589856559706673</v>
      </c>
      <c r="AK153">
        <f t="shared" si="201"/>
        <v>0.32451719408178425</v>
      </c>
      <c r="AL153">
        <f t="shared" si="201"/>
        <v>0.35666873857493508</v>
      </c>
      <c r="AM153">
        <f t="shared" si="201"/>
        <v>0.2579930270119834</v>
      </c>
    </row>
    <row r="154" spans="1:39" x14ac:dyDescent="0.3">
      <c r="A154" s="2">
        <f t="shared" si="177"/>
        <v>41487</v>
      </c>
      <c r="B154">
        <v>0.23844456313710791</v>
      </c>
      <c r="C154">
        <v>0.1543378924996896</v>
      </c>
      <c r="D154">
        <v>0.1275605279088482</v>
      </c>
      <c r="E154">
        <v>0.14811675589376461</v>
      </c>
      <c r="F154">
        <v>0.1955538987195915</v>
      </c>
      <c r="G154">
        <v>0.32181561809088521</v>
      </c>
      <c r="H154">
        <v>0.15660197386373731</v>
      </c>
      <c r="I154">
        <v>0.2448459581292208</v>
      </c>
      <c r="K154" s="2">
        <f t="shared" si="178"/>
        <v>41487</v>
      </c>
      <c r="L154" t="s">
        <v>8</v>
      </c>
      <c r="M154">
        <f t="shared" si="174"/>
        <v>8.4106670637418307E-2</v>
      </c>
      <c r="N154">
        <f t="shared" si="161"/>
        <v>0.11088403522825971</v>
      </c>
      <c r="O154">
        <f t="shared" si="162"/>
        <v>9.03278072433433E-2</v>
      </c>
      <c r="P154">
        <f t="shared" si="163"/>
        <v>4.2890664417516405E-2</v>
      </c>
      <c r="Q154">
        <f t="shared" si="164"/>
        <v>8.3371054953777307E-2</v>
      </c>
      <c r="R154">
        <f t="shared" si="165"/>
        <v>8.1842589273370597E-2</v>
      </c>
      <c r="S154">
        <f t="shared" si="166"/>
        <v>6.4013949921128965E-3</v>
      </c>
      <c r="U154" s="2">
        <f t="shared" si="179"/>
        <v>41487</v>
      </c>
      <c r="V154" t="s">
        <v>8</v>
      </c>
      <c r="W154">
        <f t="shared" si="175"/>
        <v>7.0739320457111629E-3</v>
      </c>
      <c r="X154">
        <f t="shared" si="167"/>
        <v>1.229526926850194E-2</v>
      </c>
      <c r="Y154">
        <f t="shared" si="168"/>
        <v>8.1591127613905821E-3</v>
      </c>
      <c r="Z154">
        <f t="shared" si="169"/>
        <v>1.8396090941760078E-3</v>
      </c>
      <c r="AA154">
        <f t="shared" si="170"/>
        <v>6.9507328041057553E-3</v>
      </c>
      <c r="AB154">
        <f t="shared" si="171"/>
        <v>6.698209418969636E-3</v>
      </c>
      <c r="AC154">
        <f t="shared" si="172"/>
        <v>4.0977857845048073E-5</v>
      </c>
      <c r="AE154" s="2">
        <f t="shared" si="180"/>
        <v>41487</v>
      </c>
      <c r="AF154" t="s">
        <v>8</v>
      </c>
      <c r="AG154">
        <f t="shared" ref="AG154:AM154" si="202">SQRT(AVERAGE(W143:W154))</f>
        <v>0.22276337685978645</v>
      </c>
      <c r="AH154">
        <f t="shared" si="202"/>
        <v>0.23108351957022724</v>
      </c>
      <c r="AI154">
        <f t="shared" si="202"/>
        <v>0.22610252327227631</v>
      </c>
      <c r="AJ154">
        <f t="shared" si="202"/>
        <v>0.31870447055851669</v>
      </c>
      <c r="AK154">
        <f t="shared" si="202"/>
        <v>0.31702011457015145</v>
      </c>
      <c r="AL154">
        <f t="shared" si="202"/>
        <v>0.32591817925835365</v>
      </c>
      <c r="AM154">
        <f t="shared" si="202"/>
        <v>0.23528381858112249</v>
      </c>
    </row>
    <row r="155" spans="1:39" x14ac:dyDescent="0.3">
      <c r="A155" s="2">
        <f t="shared" si="177"/>
        <v>41518</v>
      </c>
      <c r="B155">
        <v>3.7687366613159412E-2</v>
      </c>
      <c r="C155">
        <v>0.1825791234826066</v>
      </c>
      <c r="D155">
        <v>0.21161021440698849</v>
      </c>
      <c r="E155">
        <v>0.18685021482632011</v>
      </c>
      <c r="F155">
        <v>0.23844456313710791</v>
      </c>
      <c r="G155">
        <v>0.32168615993101912</v>
      </c>
      <c r="H155">
        <v>0.16133951604690261</v>
      </c>
      <c r="I155">
        <v>0.25833771556201401</v>
      </c>
      <c r="K155" s="2">
        <f t="shared" si="178"/>
        <v>41518</v>
      </c>
      <c r="L155" t="s">
        <v>8</v>
      </c>
      <c r="M155">
        <f t="shared" si="174"/>
        <v>0.14489175686944719</v>
      </c>
      <c r="N155">
        <f t="shared" si="161"/>
        <v>0.17392284779382908</v>
      </c>
      <c r="O155">
        <f t="shared" si="162"/>
        <v>0.1491628482131607</v>
      </c>
      <c r="P155">
        <f t="shared" si="163"/>
        <v>0.20075719652394849</v>
      </c>
      <c r="Q155">
        <f t="shared" si="164"/>
        <v>0.28399879331785971</v>
      </c>
      <c r="R155">
        <f t="shared" si="165"/>
        <v>0.1236521494337432</v>
      </c>
      <c r="S155">
        <f t="shared" si="166"/>
        <v>0.2206503489488546</v>
      </c>
      <c r="U155" s="2">
        <f t="shared" si="179"/>
        <v>41518</v>
      </c>
      <c r="V155" t="s">
        <v>8</v>
      </c>
      <c r="W155">
        <f t="shared" si="175"/>
        <v>2.0993621208714997E-2</v>
      </c>
      <c r="X155">
        <f t="shared" si="167"/>
        <v>3.0249156984715437E-2</v>
      </c>
      <c r="Y155">
        <f t="shared" si="168"/>
        <v>2.2249555287062416E-2</v>
      </c>
      <c r="Z155">
        <f t="shared" si="169"/>
        <v>4.0303451956155277E-2</v>
      </c>
      <c r="AA155">
        <f t="shared" si="170"/>
        <v>8.0655314606000394E-2</v>
      </c>
      <c r="AB155">
        <f t="shared" si="171"/>
        <v>1.5289854059584758E-2</v>
      </c>
      <c r="AC155">
        <f t="shared" si="172"/>
        <v>4.8686576491251299E-2</v>
      </c>
      <c r="AE155" s="2">
        <f t="shared" si="180"/>
        <v>41518</v>
      </c>
      <c r="AF155" t="s">
        <v>8</v>
      </c>
      <c r="AG155">
        <f t="shared" ref="AG155:AM155" si="203">SQRT(AVERAGE(W144:W155))</f>
        <v>0.22177736204284171</v>
      </c>
      <c r="AH155">
        <f t="shared" si="203"/>
        <v>0.2300118650814863</v>
      </c>
      <c r="AI155">
        <f t="shared" si="203"/>
        <v>0.22559906159234039</v>
      </c>
      <c r="AJ155">
        <f t="shared" si="203"/>
        <v>0.32255583651020348</v>
      </c>
      <c r="AK155">
        <f t="shared" si="203"/>
        <v>0.32454991027213853</v>
      </c>
      <c r="AL155">
        <f t="shared" si="203"/>
        <v>0.31057762844316705</v>
      </c>
      <c r="AM155">
        <f t="shared" si="203"/>
        <v>0.23857285158911296</v>
      </c>
    </row>
    <row r="156" spans="1:39" x14ac:dyDescent="0.3">
      <c r="A156" s="2">
        <f t="shared" si="177"/>
        <v>41548</v>
      </c>
      <c r="B156">
        <v>5.3508786348999138E-2</v>
      </c>
      <c r="C156">
        <v>0.11970177905059021</v>
      </c>
      <c r="D156">
        <v>0.13772165288969421</v>
      </c>
      <c r="E156">
        <v>0.1164058842032345</v>
      </c>
      <c r="F156">
        <v>3.7687366613159412E-2</v>
      </c>
      <c r="G156">
        <v>0.32124585172432468</v>
      </c>
      <c r="H156">
        <v>0.2312499692119491</v>
      </c>
      <c r="I156">
        <v>0.18942903642039241</v>
      </c>
      <c r="K156" s="2">
        <f t="shared" si="178"/>
        <v>41548</v>
      </c>
      <c r="L156" t="s">
        <v>8</v>
      </c>
      <c r="M156">
        <f t="shared" si="174"/>
        <v>6.6192992701591069E-2</v>
      </c>
      <c r="N156">
        <f t="shared" si="161"/>
        <v>8.4212866540695069E-2</v>
      </c>
      <c r="O156">
        <f t="shared" si="162"/>
        <v>6.2897097854235362E-2</v>
      </c>
      <c r="P156">
        <f t="shared" si="163"/>
        <v>1.5821419735839726E-2</v>
      </c>
      <c r="Q156">
        <f t="shared" si="164"/>
        <v>0.26773706537532554</v>
      </c>
      <c r="R156">
        <f t="shared" si="165"/>
        <v>0.17774118286294996</v>
      </c>
      <c r="S156">
        <f t="shared" si="166"/>
        <v>0.13592025007139327</v>
      </c>
      <c r="U156" s="2">
        <f t="shared" si="179"/>
        <v>41548</v>
      </c>
      <c r="V156" t="s">
        <v>8</v>
      </c>
      <c r="W156">
        <f t="shared" si="175"/>
        <v>4.3815122827928887E-3</v>
      </c>
      <c r="X156">
        <f t="shared" si="167"/>
        <v>7.0918068910009189E-3</v>
      </c>
      <c r="Y156">
        <f t="shared" si="168"/>
        <v>3.9560449184852589E-3</v>
      </c>
      <c r="Z156">
        <f t="shared" si="169"/>
        <v>2.5031732245761878E-4</v>
      </c>
      <c r="AA156">
        <f t="shared" si="170"/>
        <v>7.1683136175791348E-2</v>
      </c>
      <c r="AB156">
        <f t="shared" si="171"/>
        <v>3.1591928085520617E-2</v>
      </c>
      <c r="AC156">
        <f t="shared" si="172"/>
        <v>1.8474314379470082E-2</v>
      </c>
      <c r="AE156" s="2">
        <f t="shared" si="180"/>
        <v>41548</v>
      </c>
      <c r="AF156" t="s">
        <v>8</v>
      </c>
      <c r="AG156">
        <f t="shared" ref="AG156:AM156" si="204">SQRT(AVERAGE(W145:W156))</f>
        <v>0.22259824387736205</v>
      </c>
      <c r="AH156">
        <f t="shared" si="204"/>
        <v>0.23124822175286966</v>
      </c>
      <c r="AI156">
        <f t="shared" si="204"/>
        <v>0.22632664486693693</v>
      </c>
      <c r="AJ156">
        <f t="shared" si="204"/>
        <v>0.31702297005577879</v>
      </c>
      <c r="AK156">
        <f t="shared" si="204"/>
        <v>0.33322980752917952</v>
      </c>
      <c r="AL156">
        <f t="shared" si="204"/>
        <v>0.31369825559313702</v>
      </c>
      <c r="AM156">
        <f t="shared" si="204"/>
        <v>0.24174632413072558</v>
      </c>
    </row>
    <row r="157" spans="1:39" x14ac:dyDescent="0.3">
      <c r="A157" s="2">
        <f t="shared" si="177"/>
        <v>41579</v>
      </c>
      <c r="B157">
        <v>0.18427904455773361</v>
      </c>
      <c r="C157">
        <v>9.8276517653581391E-2</v>
      </c>
      <c r="D157">
        <v>0.16423927406592451</v>
      </c>
      <c r="E157">
        <v>0.1052928592416283</v>
      </c>
      <c r="F157">
        <v>5.3508786348999138E-2</v>
      </c>
      <c r="G157">
        <v>0.32083139806275301</v>
      </c>
      <c r="H157">
        <v>0.15310104890680751</v>
      </c>
      <c r="I157">
        <v>0.19962325898429861</v>
      </c>
      <c r="K157" s="2">
        <f t="shared" si="178"/>
        <v>41579</v>
      </c>
      <c r="L157" t="s">
        <v>8</v>
      </c>
      <c r="M157">
        <f t="shared" si="174"/>
        <v>8.6002526904152221E-2</v>
      </c>
      <c r="N157">
        <f t="shared" si="161"/>
        <v>2.0039770491809106E-2</v>
      </c>
      <c r="O157">
        <f t="shared" si="162"/>
        <v>7.8986185316105309E-2</v>
      </c>
      <c r="P157">
        <f t="shared" si="163"/>
        <v>0.13077025820873447</v>
      </c>
      <c r="Q157">
        <f t="shared" si="164"/>
        <v>0.1365523535050194</v>
      </c>
      <c r="R157">
        <f t="shared" si="165"/>
        <v>3.1177995650926105E-2</v>
      </c>
      <c r="S157">
        <f t="shared" si="166"/>
        <v>1.5344214426565E-2</v>
      </c>
      <c r="U157" s="2">
        <f t="shared" si="179"/>
        <v>41579</v>
      </c>
      <c r="V157" t="s">
        <v>8</v>
      </c>
      <c r="W157">
        <f t="shared" si="175"/>
        <v>7.3964346338994263E-3</v>
      </c>
      <c r="X157">
        <f t="shared" si="167"/>
        <v>4.0159240136438296E-4</v>
      </c>
      <c r="Y157">
        <f t="shared" si="168"/>
        <v>6.2388174707901298E-3</v>
      </c>
      <c r="Z157">
        <f t="shared" si="169"/>
        <v>1.7100860431979087E-2</v>
      </c>
      <c r="AA157">
        <f t="shared" si="170"/>
        <v>1.8646545247759785E-2</v>
      </c>
      <c r="AB157">
        <f t="shared" si="171"/>
        <v>9.7206741280916713E-4</v>
      </c>
      <c r="AC157">
        <f t="shared" si="172"/>
        <v>2.3544491636840549E-4</v>
      </c>
      <c r="AE157" s="2">
        <f t="shared" si="180"/>
        <v>41579</v>
      </c>
      <c r="AF157" t="s">
        <v>8</v>
      </c>
      <c r="AG157">
        <f t="shared" ref="AG157:AM157" si="205">SQRT(AVERAGE(W146:W157))</f>
        <v>0.21059041860225941</v>
      </c>
      <c r="AH157">
        <f t="shared" si="205"/>
        <v>0.20961274120925674</v>
      </c>
      <c r="AI157">
        <f t="shared" si="205"/>
        <v>0.2146636631419151</v>
      </c>
      <c r="AJ157">
        <f t="shared" si="205"/>
        <v>0.29323366394709832</v>
      </c>
      <c r="AK157">
        <f t="shared" si="205"/>
        <v>0.30379657066957783</v>
      </c>
      <c r="AL157">
        <f t="shared" si="205"/>
        <v>0.27656700583811811</v>
      </c>
      <c r="AM157">
        <f t="shared" si="205"/>
        <v>0.21922049891052797</v>
      </c>
    </row>
    <row r="158" spans="1:39" x14ac:dyDescent="0.3">
      <c r="A158" s="2">
        <f t="shared" si="177"/>
        <v>41609</v>
      </c>
      <c r="B158">
        <v>0.26406794933659938</v>
      </c>
      <c r="C158">
        <v>7.7905792602904936E-2</v>
      </c>
      <c r="D158">
        <v>0.12055844282776031</v>
      </c>
      <c r="E158">
        <v>7.7825308104380236E-2</v>
      </c>
      <c r="F158">
        <v>0.18427904455773361</v>
      </c>
      <c r="G158">
        <v>0.32062034342055051</v>
      </c>
      <c r="H158">
        <v>0.15242901703099229</v>
      </c>
      <c r="I158">
        <v>0.1689238108300507</v>
      </c>
      <c r="K158" s="2">
        <f t="shared" si="178"/>
        <v>41609</v>
      </c>
      <c r="L158" t="s">
        <v>8</v>
      </c>
      <c r="M158">
        <f t="shared" si="174"/>
        <v>0.18616215673369446</v>
      </c>
      <c r="N158">
        <f t="shared" si="161"/>
        <v>0.14350950650883909</v>
      </c>
      <c r="O158">
        <f t="shared" si="162"/>
        <v>0.18624264123221915</v>
      </c>
      <c r="P158">
        <f t="shared" si="163"/>
        <v>7.9788904778865771E-2</v>
      </c>
      <c r="Q158">
        <f t="shared" si="164"/>
        <v>5.655239408395113E-2</v>
      </c>
      <c r="R158">
        <f t="shared" si="165"/>
        <v>0.11163893230560709</v>
      </c>
      <c r="S158">
        <f t="shared" si="166"/>
        <v>9.5144138506548681E-2</v>
      </c>
      <c r="U158" s="2">
        <f t="shared" si="179"/>
        <v>41609</v>
      </c>
      <c r="V158" t="s">
        <v>8</v>
      </c>
      <c r="W158">
        <f t="shared" si="175"/>
        <v>3.4656348599740622E-2</v>
      </c>
      <c r="X158">
        <f t="shared" si="167"/>
        <v>2.0594978458410528E-2</v>
      </c>
      <c r="Y158">
        <f t="shared" si="168"/>
        <v>3.4686321413153094E-2</v>
      </c>
      <c r="Z158">
        <f t="shared" si="169"/>
        <v>6.3662693258109094E-3</v>
      </c>
      <c r="AA158">
        <f t="shared" si="170"/>
        <v>3.1981732766265107E-3</v>
      </c>
      <c r="AB158">
        <f t="shared" si="171"/>
        <v>1.2463251206335922E-2</v>
      </c>
      <c r="AC158">
        <f t="shared" si="172"/>
        <v>9.0524070921533199E-3</v>
      </c>
      <c r="AE158" s="2">
        <f t="shared" si="180"/>
        <v>41609</v>
      </c>
      <c r="AF158" t="s">
        <v>8</v>
      </c>
      <c r="AG158">
        <f t="shared" ref="AG158:AM158" si="206">SQRT(AVERAGE(W147:W158))</f>
        <v>0.21712308911036293</v>
      </c>
      <c r="AH158">
        <f t="shared" si="206"/>
        <v>0.21113691650306429</v>
      </c>
      <c r="AI158">
        <f t="shared" si="206"/>
        <v>0.22100243187470894</v>
      </c>
      <c r="AJ158">
        <f t="shared" si="206"/>
        <v>0.29067055097388417</v>
      </c>
      <c r="AK158">
        <f t="shared" si="206"/>
        <v>0.28827544247037595</v>
      </c>
      <c r="AL158">
        <f t="shared" si="206"/>
        <v>0.26605894538430919</v>
      </c>
      <c r="AM158">
        <f t="shared" si="206"/>
        <v>0.21940332180339892</v>
      </c>
    </row>
    <row r="159" spans="1:39" x14ac:dyDescent="0.3">
      <c r="A159" s="2">
        <f t="shared" si="177"/>
        <v>41640</v>
      </c>
      <c r="B159">
        <v>0.2421241717574851</v>
      </c>
      <c r="C159">
        <v>0.2206874948268977</v>
      </c>
      <c r="D159">
        <v>0.23099985203496981</v>
      </c>
      <c r="E159">
        <v>0.23056839125570519</v>
      </c>
      <c r="F159">
        <v>0.26406794933659938</v>
      </c>
      <c r="G159">
        <v>0.320533071207458</v>
      </c>
      <c r="H159">
        <v>0.22078998463393421</v>
      </c>
      <c r="I159">
        <v>0.241805446885481</v>
      </c>
      <c r="K159" s="2">
        <f t="shared" si="178"/>
        <v>41640</v>
      </c>
      <c r="L159" t="s">
        <v>8</v>
      </c>
      <c r="M159">
        <f t="shared" si="174"/>
        <v>2.1436676930587401E-2</v>
      </c>
      <c r="N159">
        <f t="shared" si="161"/>
        <v>1.1124319722515291E-2</v>
      </c>
      <c r="O159">
        <f t="shared" si="162"/>
        <v>1.1555780501779911E-2</v>
      </c>
      <c r="P159">
        <f t="shared" si="163"/>
        <v>2.1943777579114282E-2</v>
      </c>
      <c r="Q159">
        <f t="shared" si="164"/>
        <v>7.8408899449972896E-2</v>
      </c>
      <c r="R159">
        <f t="shared" si="165"/>
        <v>2.1334187123550896E-2</v>
      </c>
      <c r="S159">
        <f t="shared" si="166"/>
        <v>3.1872487200410027E-4</v>
      </c>
      <c r="U159" s="2">
        <f t="shared" si="179"/>
        <v>41640</v>
      </c>
      <c r="V159" t="s">
        <v>8</v>
      </c>
      <c r="W159">
        <f t="shared" si="175"/>
        <v>4.5953111782637805E-4</v>
      </c>
      <c r="X159">
        <f t="shared" si="167"/>
        <v>1.2375048928874269E-4</v>
      </c>
      <c r="Y159">
        <f t="shared" si="168"/>
        <v>1.3353606300531677E-4</v>
      </c>
      <c r="Z159">
        <f t="shared" si="169"/>
        <v>4.8152937444163868E-4</v>
      </c>
      <c r="AA159">
        <f t="shared" si="170"/>
        <v>6.1479555129559599E-3</v>
      </c>
      <c r="AB159">
        <f t="shared" si="171"/>
        <v>4.5514754022268488E-4</v>
      </c>
      <c r="AC159">
        <f t="shared" si="172"/>
        <v>1.015855440340301E-7</v>
      </c>
      <c r="AE159" s="2">
        <f t="shared" si="180"/>
        <v>41640</v>
      </c>
      <c r="AF159" t="s">
        <v>8</v>
      </c>
      <c r="AG159">
        <f t="shared" ref="AG159:AM159" si="207">SQRT(AVERAGE(W148:W159))</f>
        <v>0.21584374950109164</v>
      </c>
      <c r="AH159">
        <f t="shared" si="207"/>
        <v>0.21105122698407888</v>
      </c>
      <c r="AI159">
        <f t="shared" si="207"/>
        <v>0.21995554508726287</v>
      </c>
      <c r="AJ159">
        <f t="shared" si="207"/>
        <v>0.28434975151805914</v>
      </c>
      <c r="AK159">
        <f t="shared" si="207"/>
        <v>0.2868535747848211</v>
      </c>
      <c r="AL159">
        <f t="shared" si="207"/>
        <v>0.26489945881197441</v>
      </c>
      <c r="AM159">
        <f t="shared" si="207"/>
        <v>0.21880391989095169</v>
      </c>
    </row>
    <row r="160" spans="1:39" x14ac:dyDescent="0.3">
      <c r="A160" s="2">
        <f t="shared" si="177"/>
        <v>41671</v>
      </c>
      <c r="B160">
        <v>0.1100173207700728</v>
      </c>
      <c r="C160">
        <v>8.5934419401919288E-2</v>
      </c>
      <c r="D160">
        <v>8.539609515878939E-2</v>
      </c>
      <c r="E160">
        <v>7.8482656518298388E-2</v>
      </c>
      <c r="F160">
        <v>0.2421241717574851</v>
      </c>
      <c r="G160">
        <v>0.32041225626223457</v>
      </c>
      <c r="H160">
        <v>0.23458673644547931</v>
      </c>
      <c r="I160">
        <v>0.15681434035211811</v>
      </c>
      <c r="K160" s="2">
        <f t="shared" si="178"/>
        <v>41671</v>
      </c>
      <c r="L160" t="s">
        <v>8</v>
      </c>
      <c r="M160">
        <f t="shared" si="174"/>
        <v>2.4082901368153511E-2</v>
      </c>
      <c r="N160">
        <f t="shared" si="161"/>
        <v>2.4621225611283409E-2</v>
      </c>
      <c r="O160">
        <f t="shared" si="162"/>
        <v>3.1534664251774411E-2</v>
      </c>
      <c r="P160">
        <f t="shared" si="163"/>
        <v>0.13210685098741232</v>
      </c>
      <c r="Q160">
        <f t="shared" si="164"/>
        <v>0.21039493549216176</v>
      </c>
      <c r="R160">
        <f t="shared" si="165"/>
        <v>0.12456941567540651</v>
      </c>
      <c r="S160">
        <f t="shared" si="166"/>
        <v>4.679701958204531E-2</v>
      </c>
      <c r="U160" s="2">
        <f t="shared" si="179"/>
        <v>41671</v>
      </c>
      <c r="V160" t="s">
        <v>8</v>
      </c>
      <c r="W160">
        <f t="shared" si="175"/>
        <v>5.7998613830821026E-4</v>
      </c>
      <c r="X160">
        <f t="shared" si="167"/>
        <v>6.0620475060171809E-4</v>
      </c>
      <c r="Y160">
        <f t="shared" si="168"/>
        <v>9.9443504947213895E-4</v>
      </c>
      <c r="Z160">
        <f t="shared" si="169"/>
        <v>1.7452220077810363E-2</v>
      </c>
      <c r="AA160">
        <f t="shared" si="170"/>
        <v>4.4266028880750909E-2</v>
      </c>
      <c r="AB160">
        <f t="shared" si="171"/>
        <v>1.5517539321712213E-2</v>
      </c>
      <c r="AC160">
        <f t="shared" si="172"/>
        <v>2.1899610417623321E-3</v>
      </c>
      <c r="AE160" s="2">
        <f t="shared" si="180"/>
        <v>41671</v>
      </c>
      <c r="AF160" t="s">
        <v>8</v>
      </c>
      <c r="AG160">
        <f t="shared" ref="AG160:AM160" si="208">SQRT(AVERAGE(W149:W160))</f>
        <v>0.1972360292796459</v>
      </c>
      <c r="AH160">
        <f t="shared" si="208"/>
        <v>0.2024671987182968</v>
      </c>
      <c r="AI160">
        <f t="shared" si="208"/>
        <v>0.20110217993413662</v>
      </c>
      <c r="AJ160">
        <f t="shared" si="208"/>
        <v>0.26919952161383159</v>
      </c>
      <c r="AK160">
        <f t="shared" si="208"/>
        <v>0.28641149585055503</v>
      </c>
      <c r="AL160">
        <f t="shared" si="208"/>
        <v>0.24319921594438329</v>
      </c>
      <c r="AM160">
        <f t="shared" si="208"/>
        <v>0.20529061975550156</v>
      </c>
    </row>
    <row r="161" spans="1:39" x14ac:dyDescent="0.3">
      <c r="A161" s="2">
        <f t="shared" si="177"/>
        <v>41699</v>
      </c>
      <c r="B161">
        <v>0.20399731402491739</v>
      </c>
      <c r="C161">
        <v>0.1652293527145193</v>
      </c>
      <c r="D161">
        <v>0.17092880859228041</v>
      </c>
      <c r="E161">
        <v>0.16854698156817591</v>
      </c>
      <c r="F161">
        <v>0.1100173207700728</v>
      </c>
      <c r="G161">
        <v>0.32008857174609279</v>
      </c>
      <c r="H161">
        <v>0.23244025187884609</v>
      </c>
      <c r="I161">
        <v>0.2051121327287517</v>
      </c>
      <c r="K161" s="2">
        <f t="shared" si="178"/>
        <v>41699</v>
      </c>
      <c r="L161" t="s">
        <v>8</v>
      </c>
      <c r="M161">
        <f t="shared" si="174"/>
        <v>3.8767961310398086E-2</v>
      </c>
      <c r="N161">
        <f t="shared" si="161"/>
        <v>3.306850543263698E-2</v>
      </c>
      <c r="O161">
        <f t="shared" si="162"/>
        <v>3.5450332456741479E-2</v>
      </c>
      <c r="P161">
        <f t="shared" si="163"/>
        <v>9.3979993254844588E-2</v>
      </c>
      <c r="Q161">
        <f t="shared" si="164"/>
        <v>0.1160912577211754</v>
      </c>
      <c r="R161">
        <f t="shared" si="165"/>
        <v>2.8442937853928707E-2</v>
      </c>
      <c r="S161">
        <f t="shared" si="166"/>
        <v>1.1148187038343138E-3</v>
      </c>
      <c r="U161" s="2">
        <f t="shared" si="179"/>
        <v>41699</v>
      </c>
      <c r="V161" t="s">
        <v>8</v>
      </c>
      <c r="W161">
        <f t="shared" si="175"/>
        <v>1.5029548241645228E-3</v>
      </c>
      <c r="X161">
        <f t="shared" si="167"/>
        <v>1.0935260515483414E-3</v>
      </c>
      <c r="Y161">
        <f t="shared" si="168"/>
        <v>1.2567260712934983E-3</v>
      </c>
      <c r="Z161">
        <f t="shared" si="169"/>
        <v>8.8322391321806349E-3</v>
      </c>
      <c r="AA161">
        <f t="shared" si="170"/>
        <v>1.3477180119284367E-2</v>
      </c>
      <c r="AB161">
        <f t="shared" si="171"/>
        <v>8.0900071376245055E-4</v>
      </c>
      <c r="AC161">
        <f t="shared" si="172"/>
        <v>1.2428207424188195E-6</v>
      </c>
      <c r="AE161" s="2">
        <f t="shared" si="180"/>
        <v>41699</v>
      </c>
      <c r="AF161" t="s">
        <v>8</v>
      </c>
      <c r="AG161">
        <f t="shared" ref="AG161:AM161" si="209">SQRT(AVERAGE(W150:W161))</f>
        <v>0.11725359303978547</v>
      </c>
      <c r="AH161">
        <f t="shared" si="209"/>
        <v>0.10956252985065355</v>
      </c>
      <c r="AI161">
        <f t="shared" si="209"/>
        <v>0.1170242410110016</v>
      </c>
      <c r="AJ161">
        <f t="shared" si="209"/>
        <v>0.12940241568834365</v>
      </c>
      <c r="AK161">
        <f t="shared" si="209"/>
        <v>0.22925233804004097</v>
      </c>
      <c r="AL161">
        <f t="shared" si="209"/>
        <v>0.19406959102346091</v>
      </c>
      <c r="AM161">
        <f t="shared" si="209"/>
        <v>0.10840400621448766</v>
      </c>
    </row>
    <row r="162" spans="1:39" x14ac:dyDescent="0.3">
      <c r="A162" s="2">
        <f t="shared" si="177"/>
        <v>41730</v>
      </c>
      <c r="B162">
        <v>0.18624501675628119</v>
      </c>
      <c r="C162">
        <v>0.15919482566941201</v>
      </c>
      <c r="D162">
        <v>0.1564817814264913</v>
      </c>
      <c r="E162">
        <v>0.16394338205678061</v>
      </c>
      <c r="F162">
        <v>0.20399731402491739</v>
      </c>
      <c r="G162">
        <v>0.31991024416126768</v>
      </c>
      <c r="H162">
        <v>0.18566718387483341</v>
      </c>
      <c r="I162">
        <v>0.2271884373059429</v>
      </c>
      <c r="K162" s="2">
        <f t="shared" si="178"/>
        <v>41730</v>
      </c>
      <c r="L162" t="s">
        <v>8</v>
      </c>
      <c r="M162">
        <f t="shared" si="174"/>
        <v>2.705019108686918E-2</v>
      </c>
      <c r="N162">
        <f t="shared" si="161"/>
        <v>2.9763235329789889E-2</v>
      </c>
      <c r="O162">
        <f t="shared" si="162"/>
        <v>2.2301634699500583E-2</v>
      </c>
      <c r="P162">
        <f t="shared" si="163"/>
        <v>1.7752297268636197E-2</v>
      </c>
      <c r="Q162">
        <f t="shared" si="164"/>
        <v>0.13366522740498649</v>
      </c>
      <c r="R162">
        <f t="shared" si="165"/>
        <v>5.7783288144777623E-4</v>
      </c>
      <c r="S162">
        <f t="shared" si="166"/>
        <v>4.0943420549661713E-2</v>
      </c>
      <c r="U162" s="2">
        <f t="shared" si="179"/>
        <v>41730</v>
      </c>
      <c r="V162" t="s">
        <v>8</v>
      </c>
      <c r="W162">
        <f t="shared" si="175"/>
        <v>7.3171283783613676E-4</v>
      </c>
      <c r="X162">
        <f t="shared" si="167"/>
        <v>8.85850177296453E-4</v>
      </c>
      <c r="Y162">
        <f t="shared" si="168"/>
        <v>4.9736291026996845E-4</v>
      </c>
      <c r="Z162">
        <f t="shared" si="169"/>
        <v>3.151440583140282E-4</v>
      </c>
      <c r="AA162">
        <f t="shared" si="170"/>
        <v>1.7866393017226749E-2</v>
      </c>
      <c r="AB162">
        <f t="shared" si="171"/>
        <v>3.3389083888223982E-7</v>
      </c>
      <c r="AC162">
        <f t="shared" si="172"/>
        <v>1.676363686306461E-3</v>
      </c>
      <c r="AE162" s="2">
        <f t="shared" si="180"/>
        <v>41730</v>
      </c>
      <c r="AF162" t="s">
        <v>8</v>
      </c>
      <c r="AG162">
        <f t="shared" ref="AG162:AM162" si="210">SQRT(AVERAGE(W151:W162))</f>
        <v>9.2783785597276527E-2</v>
      </c>
      <c r="AH162">
        <f t="shared" si="210"/>
        <v>8.3104080467069671E-2</v>
      </c>
      <c r="AI162">
        <f t="shared" si="210"/>
        <v>9.3103769778637283E-2</v>
      </c>
      <c r="AJ162">
        <f t="shared" si="210"/>
        <v>0.1277981163341724</v>
      </c>
      <c r="AK162">
        <f t="shared" si="210"/>
        <v>0.17441897636887813</v>
      </c>
      <c r="AL162">
        <f t="shared" si="210"/>
        <v>0.10817708557231294</v>
      </c>
      <c r="AM162">
        <f t="shared" si="210"/>
        <v>8.3574889299588728E-2</v>
      </c>
    </row>
    <row r="163" spans="1:39" x14ac:dyDescent="0.3">
      <c r="A163" s="2">
        <f t="shared" si="177"/>
        <v>41760</v>
      </c>
      <c r="B163">
        <v>0.19011974817404459</v>
      </c>
      <c r="C163">
        <v>0.17392670884012629</v>
      </c>
      <c r="D163">
        <v>0.2199285258271621</v>
      </c>
      <c r="E163">
        <v>0.1738739961029524</v>
      </c>
      <c r="F163">
        <v>0.18624501675628119</v>
      </c>
      <c r="G163">
        <v>0.31970523614377527</v>
      </c>
      <c r="H163">
        <v>0.24557389023197621</v>
      </c>
      <c r="I163">
        <v>0.23247771703471021</v>
      </c>
      <c r="K163" s="2">
        <f t="shared" si="178"/>
        <v>41760</v>
      </c>
      <c r="L163" t="s">
        <v>8</v>
      </c>
      <c r="M163">
        <f t="shared" si="174"/>
        <v>1.6193039333918302E-2</v>
      </c>
      <c r="N163">
        <f t="shared" si="161"/>
        <v>2.9808777653117513E-2</v>
      </c>
      <c r="O163">
        <f t="shared" si="162"/>
        <v>1.624575207109219E-2</v>
      </c>
      <c r="P163">
        <f t="shared" si="163"/>
        <v>3.8747314177633996E-3</v>
      </c>
      <c r="Q163">
        <f t="shared" si="164"/>
        <v>0.12958548796973068</v>
      </c>
      <c r="R163">
        <f t="shared" si="165"/>
        <v>5.5454142057931616E-2</v>
      </c>
      <c r="S163">
        <f t="shared" si="166"/>
        <v>4.2357968860665618E-2</v>
      </c>
      <c r="U163" s="2">
        <f t="shared" si="179"/>
        <v>41760</v>
      </c>
      <c r="V163" t="s">
        <v>8</v>
      </c>
      <c r="W163">
        <f t="shared" si="175"/>
        <v>2.6221452286982527E-4</v>
      </c>
      <c r="X163">
        <f t="shared" si="167"/>
        <v>8.8856322517299807E-4</v>
      </c>
      <c r="Y163">
        <f t="shared" si="168"/>
        <v>2.6392446035539618E-4</v>
      </c>
      <c r="Z163">
        <f t="shared" si="169"/>
        <v>1.5013543559802764E-5</v>
      </c>
      <c r="AA163">
        <f t="shared" si="170"/>
        <v>1.6792398692353216E-2</v>
      </c>
      <c r="AB163">
        <f t="shared" si="171"/>
        <v>3.07516187138126E-3</v>
      </c>
      <c r="AC163">
        <f t="shared" si="172"/>
        <v>1.7941975260011181E-3</v>
      </c>
      <c r="AE163" s="2">
        <f t="shared" si="180"/>
        <v>41760</v>
      </c>
      <c r="AF163" t="s">
        <v>8</v>
      </c>
      <c r="AG163">
        <f t="shared" ref="AG163:AM163" si="211">SQRT(AVERAGE(W152:W163))</f>
        <v>9.2520061813331E-2</v>
      </c>
      <c r="AH163">
        <f t="shared" si="211"/>
        <v>8.3504034246153144E-2</v>
      </c>
      <c r="AI163">
        <f t="shared" si="211"/>
        <v>9.2811992834026719E-2</v>
      </c>
      <c r="AJ163">
        <f t="shared" si="211"/>
        <v>0.10539273483078557</v>
      </c>
      <c r="AK163">
        <f t="shared" si="211"/>
        <v>0.1588491270077389</v>
      </c>
      <c r="AL163">
        <f t="shared" si="211"/>
        <v>0.1062352934450005</v>
      </c>
      <c r="AM163">
        <f t="shared" si="211"/>
        <v>8.4381548809265808E-2</v>
      </c>
    </row>
    <row r="164" spans="1:39" x14ac:dyDescent="0.3">
      <c r="A164" s="2">
        <f t="shared" si="177"/>
        <v>41791</v>
      </c>
      <c r="B164">
        <v>0.13202602787965029</v>
      </c>
      <c r="C164">
        <v>9.9279209555953304E-2</v>
      </c>
      <c r="D164">
        <v>0.1228872309199134</v>
      </c>
      <c r="E164">
        <v>9.5302985113106101E-2</v>
      </c>
      <c r="F164">
        <v>0.19011974817404459</v>
      </c>
      <c r="G164">
        <v>0.3195067897609733</v>
      </c>
      <c r="H164">
        <v>0.22193154868749701</v>
      </c>
      <c r="I164">
        <v>0.1905702737607346</v>
      </c>
      <c r="K164" s="2">
        <f t="shared" si="178"/>
        <v>41791</v>
      </c>
      <c r="L164" t="s">
        <v>8</v>
      </c>
      <c r="M164">
        <f t="shared" si="174"/>
        <v>3.2746818323696983E-2</v>
      </c>
      <c r="N164">
        <f t="shared" si="161"/>
        <v>9.1387969597368918E-3</v>
      </c>
      <c r="O164">
        <f t="shared" si="162"/>
        <v>3.6723042766544187E-2</v>
      </c>
      <c r="P164">
        <f t="shared" si="163"/>
        <v>5.8093720294394302E-2</v>
      </c>
      <c r="Q164">
        <f t="shared" si="164"/>
        <v>0.18748076188132301</v>
      </c>
      <c r="R164">
        <f t="shared" si="165"/>
        <v>8.9905520807846723E-2</v>
      </c>
      <c r="S164">
        <f t="shared" si="166"/>
        <v>5.8544245881084311E-2</v>
      </c>
      <c r="U164" s="2">
        <f t="shared" si="179"/>
        <v>41791</v>
      </c>
      <c r="V164" t="s">
        <v>8</v>
      </c>
      <c r="W164">
        <f t="shared" si="175"/>
        <v>1.0723541103252164E-3</v>
      </c>
      <c r="X164">
        <f t="shared" si="167"/>
        <v>8.3517609871296253E-5</v>
      </c>
      <c r="Y164">
        <f t="shared" si="168"/>
        <v>1.3485818700334333E-3</v>
      </c>
      <c r="Z164">
        <f t="shared" si="169"/>
        <v>3.3748803376433202E-3</v>
      </c>
      <c r="AA164">
        <f t="shared" si="170"/>
        <v>3.5149036075601339E-2</v>
      </c>
      <c r="AB164">
        <f t="shared" si="171"/>
        <v>8.0830026717301599E-3</v>
      </c>
      <c r="AC164">
        <f t="shared" si="172"/>
        <v>3.4274287257848573E-3</v>
      </c>
      <c r="AE164" s="2">
        <f t="shared" si="180"/>
        <v>41791</v>
      </c>
      <c r="AF164" t="s">
        <v>8</v>
      </c>
      <c r="AG164">
        <f t="shared" ref="AG164:AM164" si="212">SQRT(AVERAGE(W153:W164))</f>
        <v>8.694760064487643E-2</v>
      </c>
      <c r="AH164">
        <f t="shared" si="212"/>
        <v>7.9623139221989464E-2</v>
      </c>
      <c r="AI164">
        <f t="shared" si="212"/>
        <v>8.7311044632786439E-2</v>
      </c>
      <c r="AJ164">
        <f t="shared" si="212"/>
        <v>9.0421566741718917E-2</v>
      </c>
      <c r="AK164">
        <f t="shared" si="212"/>
        <v>0.16603830343355785</v>
      </c>
      <c r="AL164">
        <f t="shared" si="212"/>
        <v>8.9124472309432337E-2</v>
      </c>
      <c r="AM164">
        <f t="shared" si="212"/>
        <v>8.5652408386757611E-2</v>
      </c>
    </row>
    <row r="165" spans="1:39" x14ac:dyDescent="0.3">
      <c r="A165" s="2">
        <f t="shared" si="177"/>
        <v>41821</v>
      </c>
      <c r="B165">
        <v>0.11248524027509529</v>
      </c>
      <c r="C165">
        <v>0.15476869069880669</v>
      </c>
      <c r="D165">
        <v>0.15435048038445151</v>
      </c>
      <c r="E165">
        <v>0.15412881516676599</v>
      </c>
      <c r="F165">
        <v>0.13202602787965029</v>
      </c>
      <c r="G165">
        <v>0.31922012192935051</v>
      </c>
      <c r="H165">
        <v>0.21275947583325999</v>
      </c>
      <c r="I165">
        <v>0.21761436329485409</v>
      </c>
      <c r="K165" s="2">
        <f t="shared" si="178"/>
        <v>41821</v>
      </c>
      <c r="L165" t="s">
        <v>8</v>
      </c>
      <c r="M165">
        <f t="shared" si="174"/>
        <v>4.22834504237114E-2</v>
      </c>
      <c r="N165">
        <f t="shared" si="161"/>
        <v>4.1865240109356217E-2</v>
      </c>
      <c r="O165">
        <f t="shared" si="162"/>
        <v>4.1643574891670698E-2</v>
      </c>
      <c r="P165">
        <f t="shared" si="163"/>
        <v>1.9540787604554993E-2</v>
      </c>
      <c r="Q165">
        <f t="shared" si="164"/>
        <v>0.20673488165425521</v>
      </c>
      <c r="R165">
        <f t="shared" si="165"/>
        <v>0.1002742355581647</v>
      </c>
      <c r="S165">
        <f t="shared" si="166"/>
        <v>0.1051291230197588</v>
      </c>
      <c r="U165" s="2">
        <f t="shared" si="179"/>
        <v>41821</v>
      </c>
      <c r="V165" t="s">
        <v>8</v>
      </c>
      <c r="W165">
        <f t="shared" si="175"/>
        <v>1.7878901797344598E-3</v>
      </c>
      <c r="X165">
        <f t="shared" si="167"/>
        <v>1.7526983294140486E-3</v>
      </c>
      <c r="Y165">
        <f t="shared" si="168"/>
        <v>1.7341873297581861E-3</v>
      </c>
      <c r="Z165">
        <f t="shared" si="169"/>
        <v>3.8184238020633009E-4</v>
      </c>
      <c r="AA165">
        <f t="shared" si="170"/>
        <v>4.2739311292598912E-2</v>
      </c>
      <c r="AB165">
        <f t="shared" si="171"/>
        <v>1.0054922316774302E-2</v>
      </c>
      <c r="AC165">
        <f t="shared" si="172"/>
        <v>1.1052132506903579E-2</v>
      </c>
      <c r="AE165" s="2">
        <f t="shared" si="180"/>
        <v>41821</v>
      </c>
      <c r="AF165" t="s">
        <v>8</v>
      </c>
      <c r="AG165">
        <f t="shared" ref="AG165:AM165" si="213">SQRT(AVERAGE(W154:W165))</f>
        <v>8.2106887907330825E-2</v>
      </c>
      <c r="AH165">
        <f t="shared" si="213"/>
        <v>7.961726918890713E-2</v>
      </c>
      <c r="AI165">
        <f t="shared" si="213"/>
        <v>8.2420975083747849E-2</v>
      </c>
      <c r="AJ165">
        <f t="shared" si="213"/>
        <v>8.9774428910619736E-2</v>
      </c>
      <c r="AK165">
        <f t="shared" si="213"/>
        <v>0.17262005621717677</v>
      </c>
      <c r="AL165">
        <f t="shared" si="213"/>
        <v>9.3546075327278377E-2</v>
      </c>
      <c r="AM165">
        <f t="shared" si="213"/>
        <v>8.9736256436168241E-2</v>
      </c>
    </row>
    <row r="166" spans="1:39" x14ac:dyDescent="0.3">
      <c r="A166" s="2">
        <f t="shared" si="177"/>
        <v>41852</v>
      </c>
      <c r="B166">
        <v>-1.6001414896038572E-2</v>
      </c>
      <c r="C166">
        <v>6.9813128854443601E-2</v>
      </c>
      <c r="D166">
        <v>0.141171956305508</v>
      </c>
      <c r="E166">
        <v>6.3475654133259202E-2</v>
      </c>
      <c r="F166">
        <v>0.11248524027509529</v>
      </c>
      <c r="G166">
        <v>0.31890449615583261</v>
      </c>
      <c r="H166">
        <v>0.1870954499998691</v>
      </c>
      <c r="I166">
        <v>0.1898435623314754</v>
      </c>
      <c r="K166" s="2">
        <f t="shared" si="178"/>
        <v>41852</v>
      </c>
      <c r="L166" t="s">
        <v>8</v>
      </c>
      <c r="M166">
        <f t="shared" si="174"/>
        <v>8.581454375048217E-2</v>
      </c>
      <c r="N166">
        <f t="shared" si="161"/>
        <v>0.15717337120154656</v>
      </c>
      <c r="O166">
        <f t="shared" si="162"/>
        <v>7.947706902929777E-2</v>
      </c>
      <c r="P166">
        <f t="shared" si="163"/>
        <v>0.12848665517113386</v>
      </c>
      <c r="Q166">
        <f t="shared" si="164"/>
        <v>0.33490591105187117</v>
      </c>
      <c r="R166">
        <f t="shared" si="165"/>
        <v>0.20309686489590767</v>
      </c>
      <c r="S166">
        <f t="shared" si="166"/>
        <v>0.20584497722751396</v>
      </c>
      <c r="U166" s="2">
        <f t="shared" si="179"/>
        <v>41852</v>
      </c>
      <c r="V166" t="s">
        <v>8</v>
      </c>
      <c r="W166">
        <f t="shared" si="175"/>
        <v>7.3641359191034183E-3</v>
      </c>
      <c r="X166">
        <f t="shared" si="167"/>
        <v>2.4703468614859145E-2</v>
      </c>
      <c r="Y166">
        <f t="shared" si="168"/>
        <v>6.3166045014877627E-3</v>
      </c>
      <c r="Z166">
        <f t="shared" si="169"/>
        <v>1.6508820557065859E-2</v>
      </c>
      <c r="AA166">
        <f t="shared" si="170"/>
        <v>0.11216196925748384</v>
      </c>
      <c r="AB166">
        <f t="shared" si="171"/>
        <v>4.1248336530546575E-2</v>
      </c>
      <c r="AC166">
        <f t="shared" si="172"/>
        <v>4.237215464979574E-2</v>
      </c>
      <c r="AE166" s="2">
        <f t="shared" si="180"/>
        <v>41852</v>
      </c>
      <c r="AF166" t="s">
        <v>8</v>
      </c>
      <c r="AG166">
        <f t="shared" ref="AG166:AM166" si="214">SQRT(AVERAGE(W155:W166))</f>
        <v>8.2254025420905749E-2</v>
      </c>
      <c r="AH166">
        <f t="shared" si="214"/>
        <v>8.5865745005184319E-2</v>
      </c>
      <c r="AI166">
        <f t="shared" si="214"/>
        <v>8.1484199565092882E-2</v>
      </c>
      <c r="AJ166">
        <f t="shared" si="214"/>
        <v>9.634252630485704E-2</v>
      </c>
      <c r="AK166">
        <f t="shared" si="214"/>
        <v>0.1963804645228307</v>
      </c>
      <c r="AL166">
        <f t="shared" si="214"/>
        <v>0.10784268852562474</v>
      </c>
      <c r="AM166">
        <f t="shared" si="214"/>
        <v>0.1076113088163769</v>
      </c>
    </row>
    <row r="167" spans="1:39" x14ac:dyDescent="0.3">
      <c r="A167" s="2">
        <f t="shared" si="177"/>
        <v>41883</v>
      </c>
      <c r="B167">
        <v>7.1588442287051626E-3</v>
      </c>
      <c r="C167">
        <v>3.344785090425046E-2</v>
      </c>
      <c r="D167">
        <v>8.4107731472728722E-2</v>
      </c>
      <c r="E167">
        <v>3.6314768864189717E-2</v>
      </c>
      <c r="F167">
        <v>-1.6001414896038572E-2</v>
      </c>
      <c r="G167">
        <v>0.31839396885239979</v>
      </c>
      <c r="H167">
        <v>0.17765585402436171</v>
      </c>
      <c r="I167">
        <v>0.14315798529621809</v>
      </c>
      <c r="K167" s="2">
        <f t="shared" si="178"/>
        <v>41883</v>
      </c>
      <c r="L167" t="s">
        <v>8</v>
      </c>
      <c r="M167">
        <f t="shared" si="174"/>
        <v>2.6289006675545297E-2</v>
      </c>
      <c r="N167">
        <f t="shared" si="161"/>
        <v>7.6948887244023559E-2</v>
      </c>
      <c r="O167">
        <f t="shared" si="162"/>
        <v>2.9155924635484554E-2</v>
      </c>
      <c r="P167">
        <f t="shared" si="163"/>
        <v>2.3160259124743735E-2</v>
      </c>
      <c r="Q167">
        <f t="shared" si="164"/>
        <v>0.31123512462369463</v>
      </c>
      <c r="R167">
        <f t="shared" si="165"/>
        <v>0.17049700979565655</v>
      </c>
      <c r="S167">
        <f t="shared" si="166"/>
        <v>0.13599914106751293</v>
      </c>
      <c r="U167" s="2">
        <f t="shared" si="179"/>
        <v>41883</v>
      </c>
      <c r="V167" t="s">
        <v>8</v>
      </c>
      <c r="W167">
        <f t="shared" si="175"/>
        <v>6.9111187198686521E-4</v>
      </c>
      <c r="X167">
        <f t="shared" si="167"/>
        <v>5.9211312480934516E-3</v>
      </c>
      <c r="Y167">
        <f t="shared" si="168"/>
        <v>8.5006794135005512E-4</v>
      </c>
      <c r="Z167">
        <f t="shared" si="169"/>
        <v>5.3639760272527549E-4</v>
      </c>
      <c r="AA167">
        <f t="shared" si="170"/>
        <v>9.6867302799526725E-2</v>
      </c>
      <c r="AB167">
        <f t="shared" si="171"/>
        <v>2.9069230349260206E-2</v>
      </c>
      <c r="AC167">
        <f t="shared" si="172"/>
        <v>1.8495766371101282E-2</v>
      </c>
      <c r="AE167" s="2">
        <f t="shared" si="180"/>
        <v>41883</v>
      </c>
      <c r="AF167" t="s">
        <v>8</v>
      </c>
      <c r="AG167">
        <f t="shared" ref="AG167:AM167" si="215">SQRT(AVERAGE(W156:W167))</f>
        <v>7.1230954787103132E-2</v>
      </c>
      <c r="AH167">
        <f t="shared" si="215"/>
        <v>7.311354653717396E-2</v>
      </c>
      <c r="AI167">
        <f t="shared" si="215"/>
        <v>6.9687761957327829E-2</v>
      </c>
      <c r="AJ167">
        <f t="shared" si="215"/>
        <v>7.725258040145265E-2</v>
      </c>
      <c r="AK167">
        <f t="shared" si="215"/>
        <v>0.19979060504020196</v>
      </c>
      <c r="AL167">
        <f t="shared" si="215"/>
        <v>0.11304126160790966</v>
      </c>
      <c r="AM167">
        <f t="shared" si="215"/>
        <v>9.520658034940549E-2</v>
      </c>
    </row>
    <row r="168" spans="1:39" x14ac:dyDescent="0.3">
      <c r="A168" s="2">
        <f t="shared" si="177"/>
        <v>41913</v>
      </c>
      <c r="B168">
        <v>-1.979334907824537E-2</v>
      </c>
      <c r="C168">
        <v>0.14070322663533999</v>
      </c>
      <c r="D168">
        <v>0.1415277015089722</v>
      </c>
      <c r="E168">
        <v>0.14893129042077941</v>
      </c>
      <c r="F168">
        <v>7.1588442287051626E-3</v>
      </c>
      <c r="G168">
        <v>0.31792024720152662</v>
      </c>
      <c r="H168">
        <v>9.3422767068999379E-2</v>
      </c>
      <c r="I168">
        <v>0.12518352444790151</v>
      </c>
      <c r="K168" s="2">
        <f t="shared" si="178"/>
        <v>41913</v>
      </c>
      <c r="L168" t="s">
        <v>8</v>
      </c>
      <c r="M168">
        <f t="shared" si="174"/>
        <v>0.16049657571358536</v>
      </c>
      <c r="N168">
        <f t="shared" si="161"/>
        <v>0.16132105058721757</v>
      </c>
      <c r="O168">
        <f t="shared" si="162"/>
        <v>0.16872463949902478</v>
      </c>
      <c r="P168">
        <f t="shared" si="163"/>
        <v>2.6952193306950534E-2</v>
      </c>
      <c r="Q168">
        <f t="shared" si="164"/>
        <v>0.33771359627977199</v>
      </c>
      <c r="R168">
        <f t="shared" si="165"/>
        <v>0.11321611614724475</v>
      </c>
      <c r="S168">
        <f t="shared" si="166"/>
        <v>0.14497687352614688</v>
      </c>
      <c r="U168" s="2">
        <f t="shared" si="179"/>
        <v>41913</v>
      </c>
      <c r="V168" t="s">
        <v>8</v>
      </c>
      <c r="W168">
        <f t="shared" si="175"/>
        <v>2.5759150815786638E-2</v>
      </c>
      <c r="X168">
        <f t="shared" si="167"/>
        <v>2.6024481362563613E-2</v>
      </c>
      <c r="Y168">
        <f t="shared" si="168"/>
        <v>2.8468003974075871E-2</v>
      </c>
      <c r="Z168">
        <f t="shared" si="169"/>
        <v>7.2642072405522916E-4</v>
      </c>
      <c r="AA168">
        <f t="shared" si="170"/>
        <v>0.11405047311221682</v>
      </c>
      <c r="AB168">
        <f t="shared" si="171"/>
        <v>1.2817888955466414E-2</v>
      </c>
      <c r="AC168">
        <f t="shared" si="172"/>
        <v>2.1018293857416388E-2</v>
      </c>
      <c r="AE168" s="2">
        <f t="shared" si="180"/>
        <v>41913</v>
      </c>
      <c r="AF168" t="s">
        <v>8</v>
      </c>
      <c r="AG168">
        <f t="shared" ref="AG168:AM168" si="216">SQRT(AVERAGE(W157:W168))</f>
        <v>8.2796852582883912E-2</v>
      </c>
      <c r="AH168">
        <f t="shared" si="216"/>
        <v>8.3206451431807424E-2</v>
      </c>
      <c r="AI168">
        <f t="shared" si="216"/>
        <v>8.3060504581020572E-2</v>
      </c>
      <c r="AJ168">
        <f t="shared" si="216"/>
        <v>7.7508944400948812E-2</v>
      </c>
      <c r="AK168">
        <f t="shared" si="216"/>
        <v>0.20843919322838197</v>
      </c>
      <c r="AL168">
        <f t="shared" si="216"/>
        <v>0.1058953425088659</v>
      </c>
      <c r="AM168">
        <f t="shared" si="216"/>
        <v>9.6313504928730836E-2</v>
      </c>
    </row>
    <row r="169" spans="1:39" x14ac:dyDescent="0.3">
      <c r="A169" s="2">
        <f t="shared" si="177"/>
        <v>41944</v>
      </c>
      <c r="B169">
        <v>-0.1884434584542127</v>
      </c>
      <c r="C169">
        <v>-3.9221590480950488E-2</v>
      </c>
      <c r="D169">
        <v>5.1313206729698232E-2</v>
      </c>
      <c r="E169">
        <v>-3.6475141930848998E-2</v>
      </c>
      <c r="F169">
        <v>-1.979334907824537E-2</v>
      </c>
      <c r="G169">
        <v>0.31740700465398902</v>
      </c>
      <c r="H169">
        <v>0.1097427159385256</v>
      </c>
      <c r="I169">
        <v>9.4676252174942507E-2</v>
      </c>
      <c r="K169" s="2">
        <f t="shared" si="178"/>
        <v>41944</v>
      </c>
      <c r="L169" t="s">
        <v>8</v>
      </c>
      <c r="M169">
        <f t="shared" si="174"/>
        <v>0.1492218679732622</v>
      </c>
      <c r="N169">
        <f t="shared" si="161"/>
        <v>0.23975666518391092</v>
      </c>
      <c r="O169">
        <f t="shared" si="162"/>
        <v>0.15196831652336371</v>
      </c>
      <c r="P169">
        <f t="shared" si="163"/>
        <v>0.16865010937596733</v>
      </c>
      <c r="Q169">
        <f t="shared" si="164"/>
        <v>0.5058504631082017</v>
      </c>
      <c r="R169">
        <f t="shared" si="165"/>
        <v>0.29818617439273831</v>
      </c>
      <c r="S169">
        <f t="shared" si="166"/>
        <v>0.2831197106291552</v>
      </c>
      <c r="U169" s="2">
        <f t="shared" si="179"/>
        <v>41944</v>
      </c>
      <c r="V169" t="s">
        <v>8</v>
      </c>
      <c r="W169">
        <f t="shared" si="175"/>
        <v>2.2267165881429695E-2</v>
      </c>
      <c r="X169">
        <f t="shared" si="167"/>
        <v>5.7483258500109963E-2</v>
      </c>
      <c r="Y169">
        <f t="shared" si="168"/>
        <v>2.3094369226945258E-2</v>
      </c>
      <c r="Z169">
        <f t="shared" si="169"/>
        <v>2.8442859392525745E-2</v>
      </c>
      <c r="AA169">
        <f t="shared" si="170"/>
        <v>0.25588469102678213</v>
      </c>
      <c r="AB169">
        <f t="shared" si="171"/>
        <v>8.8914994598976546E-2</v>
      </c>
      <c r="AC169">
        <f t="shared" si="172"/>
        <v>8.0156770546736575E-2</v>
      </c>
      <c r="AE169" s="2">
        <f t="shared" si="180"/>
        <v>41944</v>
      </c>
      <c r="AF169" t="s">
        <v>8</v>
      </c>
      <c r="AG169">
        <f t="shared" ref="AG169:AM169" si="217">SQRT(AVERAGE(W158:W169))</f>
        <v>8.9969697129603954E-2</v>
      </c>
      <c r="AH169">
        <f t="shared" si="217"/>
        <v>0.10807459955097001</v>
      </c>
      <c r="AI169">
        <f t="shared" si="217"/>
        <v>9.1124512258045395E-2</v>
      </c>
      <c r="AJ169">
        <f t="shared" si="217"/>
        <v>8.3383469837821744E-2</v>
      </c>
      <c r="AK169">
        <f t="shared" si="217"/>
        <v>0.25142939914672657</v>
      </c>
      <c r="AL169">
        <f t="shared" si="217"/>
        <v>0.13617048443250823</v>
      </c>
      <c r="AM169">
        <f t="shared" si="217"/>
        <v>0.12623946174177869</v>
      </c>
    </row>
    <row r="170" spans="1:39" x14ac:dyDescent="0.3">
      <c r="A170" s="2">
        <f t="shared" si="177"/>
        <v>41974</v>
      </c>
      <c r="B170">
        <v>-0.30893766581243648</v>
      </c>
      <c r="C170">
        <v>-4.5108148640005301E-3</v>
      </c>
      <c r="D170">
        <v>1.220303682281329E-2</v>
      </c>
      <c r="E170">
        <v>-2.2457726966502709E-3</v>
      </c>
      <c r="F170">
        <v>-0.1884434584542127</v>
      </c>
      <c r="G170">
        <v>0.31663940152332398</v>
      </c>
      <c r="H170">
        <v>7.4776860863818684E-2</v>
      </c>
      <c r="I170">
        <v>-1.120738959571956E-3</v>
      </c>
      <c r="K170" s="2">
        <f t="shared" si="178"/>
        <v>41974</v>
      </c>
      <c r="L170" t="s">
        <v>8</v>
      </c>
      <c r="M170">
        <f t="shared" si="174"/>
        <v>0.30442685094843597</v>
      </c>
      <c r="N170">
        <f t="shared" si="161"/>
        <v>0.32114070263524974</v>
      </c>
      <c r="O170">
        <f t="shared" si="162"/>
        <v>0.30669189311578621</v>
      </c>
      <c r="P170">
        <f t="shared" si="163"/>
        <v>0.12049420735822378</v>
      </c>
      <c r="Q170">
        <f t="shared" si="164"/>
        <v>0.62557706733576046</v>
      </c>
      <c r="R170">
        <f t="shared" si="165"/>
        <v>0.38371452667625516</v>
      </c>
      <c r="S170">
        <f t="shared" si="166"/>
        <v>0.30781692685286455</v>
      </c>
      <c r="U170" s="2">
        <f t="shared" si="179"/>
        <v>41974</v>
      </c>
      <c r="V170" t="s">
        <v>8</v>
      </c>
      <c r="W170">
        <f t="shared" si="175"/>
        <v>9.2675707578381256E-2</v>
      </c>
      <c r="X170">
        <f t="shared" si="167"/>
        <v>0.1031313508890619</v>
      </c>
      <c r="Y170">
        <f t="shared" si="168"/>
        <v>9.4059917302944829E-2</v>
      </c>
      <c r="Z170">
        <f t="shared" si="169"/>
        <v>1.451885400688663E-2</v>
      </c>
      <c r="AA170">
        <f t="shared" si="170"/>
        <v>0.39134666717641059</v>
      </c>
      <c r="AB170">
        <f t="shared" si="171"/>
        <v>0.14723683798238255</v>
      </c>
      <c r="AC170">
        <f t="shared" si="172"/>
        <v>9.4751260457141759E-2</v>
      </c>
      <c r="AE170" s="2">
        <f t="shared" si="180"/>
        <v>41974</v>
      </c>
      <c r="AF170" t="s">
        <v>8</v>
      </c>
      <c r="AG170">
        <f t="shared" ref="AG170:AM170" si="218">SQRT(AVERAGE(W159:W170))</f>
        <v>0.11370792840935082</v>
      </c>
      <c r="AH170">
        <f t="shared" si="218"/>
        <v>0.13622830140609601</v>
      </c>
      <c r="AI170">
        <f t="shared" si="218"/>
        <v>0.11511505718953238</v>
      </c>
      <c r="AJ170">
        <f t="shared" si="218"/>
        <v>8.7362378052289982E-2</v>
      </c>
      <c r="AK170">
        <f t="shared" si="218"/>
        <v>0.30913176895988215</v>
      </c>
      <c r="AL170">
        <f t="shared" si="218"/>
        <v>0.17255008855958662</v>
      </c>
      <c r="AM170">
        <f t="shared" si="218"/>
        <v>0.15191436013294807</v>
      </c>
    </row>
    <row r="171" spans="1:39" x14ac:dyDescent="0.3">
      <c r="A171" s="2">
        <f t="shared" si="177"/>
        <v>42005</v>
      </c>
      <c r="B171">
        <v>-0.63906934924871095</v>
      </c>
      <c r="C171">
        <v>-0.26341343859204969</v>
      </c>
      <c r="D171">
        <v>-0.1139133204926791</v>
      </c>
      <c r="E171">
        <v>-0.26907448157901531</v>
      </c>
      <c r="F171">
        <v>-0.30893766581243648</v>
      </c>
      <c r="G171">
        <v>0.31569155748190619</v>
      </c>
      <c r="H171">
        <v>-4.4860750979894073E-2</v>
      </c>
      <c r="I171">
        <v>-9.8465874388747918E-2</v>
      </c>
      <c r="K171" s="2">
        <f t="shared" si="178"/>
        <v>42005</v>
      </c>
      <c r="L171" t="s">
        <v>8</v>
      </c>
      <c r="M171">
        <f t="shared" si="174"/>
        <v>0.37565591065666126</v>
      </c>
      <c r="N171">
        <f t="shared" si="161"/>
        <v>0.52515602875603185</v>
      </c>
      <c r="O171">
        <f t="shared" si="162"/>
        <v>0.36999486766969564</v>
      </c>
      <c r="P171">
        <f t="shared" si="163"/>
        <v>0.33013168343627447</v>
      </c>
      <c r="Q171">
        <f t="shared" si="164"/>
        <v>0.95476090673061709</v>
      </c>
      <c r="R171">
        <f t="shared" si="165"/>
        <v>0.59420859826881689</v>
      </c>
      <c r="S171">
        <f t="shared" si="166"/>
        <v>0.54060347485996307</v>
      </c>
      <c r="U171" s="2">
        <f t="shared" si="179"/>
        <v>42005</v>
      </c>
      <c r="V171" t="s">
        <v>8</v>
      </c>
      <c r="W171">
        <f t="shared" si="175"/>
        <v>0.14111736321128546</v>
      </c>
      <c r="X171">
        <f t="shared" si="167"/>
        <v>0.27578885453880614</v>
      </c>
      <c r="Y171">
        <f t="shared" si="168"/>
        <v>0.13689620210191558</v>
      </c>
      <c r="Z171">
        <f t="shared" si="169"/>
        <v>0.10898692840846853</v>
      </c>
      <c r="AA171">
        <f t="shared" si="170"/>
        <v>0.91156838902107007</v>
      </c>
      <c r="AB171">
        <f t="shared" si="171"/>
        <v>0.35308385825659222</v>
      </c>
      <c r="AC171">
        <f t="shared" si="172"/>
        <v>0.29225211703066672</v>
      </c>
      <c r="AE171" s="2">
        <f t="shared" si="180"/>
        <v>42005</v>
      </c>
      <c r="AF171" t="s">
        <v>8</v>
      </c>
      <c r="AG171">
        <f t="shared" ref="AG171:AM171" si="219">SQRT(AVERAGE(W160:W171))</f>
        <v>0.15700630239240176</v>
      </c>
      <c r="AH171">
        <f t="shared" si="219"/>
        <v>0.20378970069195496</v>
      </c>
      <c r="AI171">
        <f t="shared" si="219"/>
        <v>0.15699797842114135</v>
      </c>
      <c r="AJ171">
        <f t="shared" si="219"/>
        <v>0.12912901178712763</v>
      </c>
      <c r="AK171">
        <f t="shared" si="219"/>
        <v>0.41353857543475775</v>
      </c>
      <c r="AL171">
        <f t="shared" si="219"/>
        <v>0.24322676447083691</v>
      </c>
      <c r="AM171">
        <f t="shared" si="219"/>
        <v>0.21778959441403517</v>
      </c>
    </row>
    <row r="172" spans="1:39" x14ac:dyDescent="0.3">
      <c r="A172" s="2">
        <f t="shared" si="177"/>
        <v>42036</v>
      </c>
      <c r="B172">
        <v>0.25314368884981059</v>
      </c>
      <c r="C172">
        <v>-0.40505406050940301</v>
      </c>
      <c r="D172">
        <v>-0.2317686697192653</v>
      </c>
      <c r="E172">
        <v>-0.41263969988389521</v>
      </c>
      <c r="F172">
        <v>-0.63906934924871095</v>
      </c>
      <c r="G172">
        <v>0.31424713856098241</v>
      </c>
      <c r="H172">
        <v>-0.1088647038073165</v>
      </c>
      <c r="I172">
        <v>-0.28206342460978379</v>
      </c>
      <c r="K172" s="2">
        <f t="shared" si="178"/>
        <v>42036</v>
      </c>
      <c r="L172" t="s">
        <v>8</v>
      </c>
      <c r="M172">
        <f t="shared" si="174"/>
        <v>0.6581977493592136</v>
      </c>
      <c r="N172">
        <f t="shared" si="161"/>
        <v>0.48491235856907589</v>
      </c>
      <c r="O172">
        <f t="shared" si="162"/>
        <v>0.66578338873370579</v>
      </c>
      <c r="P172">
        <f t="shared" si="163"/>
        <v>0.89221303809852159</v>
      </c>
      <c r="Q172">
        <f t="shared" si="164"/>
        <v>6.110344971117182E-2</v>
      </c>
      <c r="R172">
        <f t="shared" si="165"/>
        <v>0.36200839265712709</v>
      </c>
      <c r="S172">
        <f t="shared" si="166"/>
        <v>0.53520711345959437</v>
      </c>
      <c r="U172" s="2">
        <f t="shared" si="179"/>
        <v>42036</v>
      </c>
      <c r="V172" t="s">
        <v>8</v>
      </c>
      <c r="W172">
        <f t="shared" si="175"/>
        <v>0.43322427726153417</v>
      </c>
      <c r="X172">
        <f t="shared" si="167"/>
        <v>0.23513999549302403</v>
      </c>
      <c r="Y172">
        <f t="shared" si="168"/>
        <v>0.44326752071373682</v>
      </c>
      <c r="Z172">
        <f t="shared" si="169"/>
        <v>0.79604410535299397</v>
      </c>
      <c r="AA172">
        <f t="shared" si="170"/>
        <v>3.7336315666057036E-3</v>
      </c>
      <c r="AB172">
        <f t="shared" si="171"/>
        <v>0.13105007635419672</v>
      </c>
      <c r="AC172">
        <f t="shared" si="172"/>
        <v>0.28644665429775112</v>
      </c>
      <c r="AE172" s="2">
        <f t="shared" si="180"/>
        <v>42036</v>
      </c>
      <c r="AF172" t="s">
        <v>8</v>
      </c>
      <c r="AG172">
        <f t="shared" ref="AG172:AM172" si="220">SQRT(AVERAGE(W161:W172))</f>
        <v>0.2463831770187847</v>
      </c>
      <c r="AH172">
        <f t="shared" si="220"/>
        <v>0.24713301007753924</v>
      </c>
      <c r="AI172">
        <f t="shared" si="220"/>
        <v>0.24800091874899821</v>
      </c>
      <c r="AJ172">
        <f t="shared" si="220"/>
        <v>0.28558179002062695</v>
      </c>
      <c r="AK172">
        <f t="shared" si="220"/>
        <v>0.40943430925660101</v>
      </c>
      <c r="AL172">
        <f t="shared" si="220"/>
        <v>0.26227270230492095</v>
      </c>
      <c r="AM172">
        <f t="shared" si="220"/>
        <v>0.2666840175307893</v>
      </c>
    </row>
    <row r="173" spans="1:39" x14ac:dyDescent="0.3">
      <c r="A173" s="2">
        <f t="shared" si="177"/>
        <v>42064</v>
      </c>
      <c r="B173">
        <v>0.26903295965814422</v>
      </c>
      <c r="C173">
        <v>0.24863866295361939</v>
      </c>
      <c r="D173">
        <v>0.18061014896624741</v>
      </c>
      <c r="E173">
        <v>0.25707258991395049</v>
      </c>
      <c r="F173">
        <v>0.25314368884981059</v>
      </c>
      <c r="G173">
        <v>0.31415483727743082</v>
      </c>
      <c r="H173">
        <v>-0.3174224215202795</v>
      </c>
      <c r="I173">
        <v>0.19371689308198869</v>
      </c>
      <c r="K173" s="2">
        <f t="shared" si="178"/>
        <v>42064</v>
      </c>
      <c r="L173" t="s">
        <v>8</v>
      </c>
      <c r="M173">
        <f t="shared" si="174"/>
        <v>2.0394296704524834E-2</v>
      </c>
      <c r="N173">
        <f t="shared" si="161"/>
        <v>8.8422810691896808E-2</v>
      </c>
      <c r="O173">
        <f t="shared" si="162"/>
        <v>1.1960369744193733E-2</v>
      </c>
      <c r="P173">
        <f t="shared" si="163"/>
        <v>1.5889270808333633E-2</v>
      </c>
      <c r="Q173">
        <f t="shared" si="164"/>
        <v>4.5121877619286599E-2</v>
      </c>
      <c r="R173">
        <f t="shared" si="165"/>
        <v>0.58645538117842366</v>
      </c>
      <c r="S173">
        <f t="shared" si="166"/>
        <v>7.5316066576155527E-2</v>
      </c>
      <c r="U173" s="2">
        <f t="shared" si="179"/>
        <v>42064</v>
      </c>
      <c r="V173" t="s">
        <v>8</v>
      </c>
      <c r="W173">
        <f t="shared" si="175"/>
        <v>4.1592733807219249E-4</v>
      </c>
      <c r="X173">
        <f t="shared" si="167"/>
        <v>7.8185934506550207E-3</v>
      </c>
      <c r="Y173">
        <f t="shared" si="168"/>
        <v>1.4305044441782487E-4</v>
      </c>
      <c r="Z173">
        <f t="shared" si="169"/>
        <v>2.5246892682056333E-4</v>
      </c>
      <c r="AA173">
        <f t="shared" si="170"/>
        <v>2.0359838398898767E-3</v>
      </c>
      <c r="AB173">
        <f t="shared" si="171"/>
        <v>0.34392991411313018</v>
      </c>
      <c r="AC173">
        <f t="shared" si="172"/>
        <v>5.6725098845038921E-3</v>
      </c>
      <c r="AE173" s="2">
        <f t="shared" si="180"/>
        <v>42064</v>
      </c>
      <c r="AF173" t="s">
        <v>8</v>
      </c>
      <c r="AG173">
        <f t="shared" ref="AG173:AM173" si="221">SQRT(AVERAGE(W162:W173))</f>
        <v>0.24619927760663471</v>
      </c>
      <c r="AH173">
        <f t="shared" si="221"/>
        <v>0.24826426837796051</v>
      </c>
      <c r="AI173">
        <f t="shared" si="221"/>
        <v>0.24781373932473474</v>
      </c>
      <c r="AJ173">
        <f t="shared" si="221"/>
        <v>0.2843272374236045</v>
      </c>
      <c r="AK173">
        <f t="shared" si="221"/>
        <v>0.40826831933563879</v>
      </c>
      <c r="AL173">
        <f t="shared" si="221"/>
        <v>0.31205829555432907</v>
      </c>
      <c r="AM173">
        <f t="shared" si="221"/>
        <v>0.26756862819659771</v>
      </c>
    </row>
    <row r="174" spans="1:39" x14ac:dyDescent="0.3">
      <c r="A174" s="2">
        <f t="shared" si="177"/>
        <v>42095</v>
      </c>
      <c r="B174">
        <v>0.10419358923821059</v>
      </c>
      <c r="C174">
        <v>-4.5618672638721852E-4</v>
      </c>
      <c r="D174">
        <v>6.6011172346779681E-2</v>
      </c>
      <c r="E174">
        <v>-4.9831475699763589E-3</v>
      </c>
      <c r="F174">
        <v>0.26903295965814422</v>
      </c>
      <c r="G174">
        <v>0.31408678014678332</v>
      </c>
      <c r="H174">
        <v>0.23679368138546741</v>
      </c>
      <c r="I174">
        <v>9.1801218026821368E-2</v>
      </c>
      <c r="K174" s="2">
        <f t="shared" si="178"/>
        <v>42095</v>
      </c>
      <c r="L174" t="s">
        <v>8</v>
      </c>
      <c r="M174">
        <f t="shared" si="174"/>
        <v>0.10464977596459782</v>
      </c>
      <c r="N174">
        <f t="shared" si="161"/>
        <v>3.8182416891430912E-2</v>
      </c>
      <c r="O174">
        <f t="shared" si="162"/>
        <v>0.10917673680818696</v>
      </c>
      <c r="P174">
        <f t="shared" si="163"/>
        <v>0.16483937041993363</v>
      </c>
      <c r="Q174">
        <f t="shared" si="164"/>
        <v>0.20989319090857272</v>
      </c>
      <c r="R174">
        <f t="shared" si="165"/>
        <v>0.13260009214725682</v>
      </c>
      <c r="S174">
        <f t="shared" si="166"/>
        <v>1.2392371211389225E-2</v>
      </c>
      <c r="U174" s="2">
        <f t="shared" si="179"/>
        <v>42095</v>
      </c>
      <c r="V174" t="s">
        <v>8</v>
      </c>
      <c r="W174">
        <f t="shared" si="175"/>
        <v>1.0951575609440515E-2</v>
      </c>
      <c r="X174">
        <f t="shared" si="167"/>
        <v>1.4578969596710286E-3</v>
      </c>
      <c r="Y174">
        <f t="shared" si="168"/>
        <v>1.1919559860084125E-2</v>
      </c>
      <c r="Z174">
        <f t="shared" si="169"/>
        <v>2.7172018040440091E-2</v>
      </c>
      <c r="AA174">
        <f t="shared" si="170"/>
        <v>4.4055151589782557E-2</v>
      </c>
      <c r="AB174">
        <f t="shared" si="171"/>
        <v>1.7582784437460999E-2</v>
      </c>
      <c r="AC174">
        <f t="shared" si="172"/>
        <v>1.5357086424086844E-4</v>
      </c>
      <c r="AE174" s="2">
        <f t="shared" si="180"/>
        <v>42095</v>
      </c>
      <c r="AF174" t="s">
        <v>8</v>
      </c>
      <c r="AG174">
        <f t="shared" ref="AG174:AM174" si="222">SQRT(AVERAGE(W163:W174))</f>
        <v>0.24792284994529207</v>
      </c>
      <c r="AH174">
        <f t="shared" si="222"/>
        <v>0.24836025752612251</v>
      </c>
      <c r="AI174">
        <f t="shared" si="222"/>
        <v>0.24972684906498424</v>
      </c>
      <c r="AJ174">
        <f t="shared" si="222"/>
        <v>0.28823610247986392</v>
      </c>
      <c r="AK174">
        <f t="shared" si="222"/>
        <v>0.4109323753622488</v>
      </c>
      <c r="AL174">
        <f t="shared" si="222"/>
        <v>0.31439717561786634</v>
      </c>
      <c r="AM174">
        <f t="shared" si="222"/>
        <v>0.26733138871664569</v>
      </c>
    </row>
    <row r="175" spans="1:39" x14ac:dyDescent="0.3">
      <c r="A175" s="2">
        <f t="shared" si="177"/>
        <v>42125</v>
      </c>
      <c r="B175">
        <v>0.32923197040535263</v>
      </c>
      <c r="C175">
        <v>0.15767420953044389</v>
      </c>
      <c r="D175">
        <v>4.3262639452815672E-2</v>
      </c>
      <c r="E175">
        <v>0.14482450770311819</v>
      </c>
      <c r="F175">
        <v>0.10419358923821059</v>
      </c>
      <c r="G175">
        <v>0.31377067594360769</v>
      </c>
      <c r="H175">
        <v>0.1211786584545067</v>
      </c>
      <c r="I175">
        <v>0.15449155718602381</v>
      </c>
      <c r="K175" s="2">
        <f t="shared" si="178"/>
        <v>42125</v>
      </c>
      <c r="L175" t="s">
        <v>8</v>
      </c>
      <c r="M175">
        <f t="shared" si="174"/>
        <v>0.17155776087490873</v>
      </c>
      <c r="N175">
        <f t="shared" si="161"/>
        <v>0.28596933095253696</v>
      </c>
      <c r="O175">
        <f t="shared" si="162"/>
        <v>0.18440746270223443</v>
      </c>
      <c r="P175">
        <f t="shared" si="163"/>
        <v>0.22503838116714203</v>
      </c>
      <c r="Q175">
        <f t="shared" si="164"/>
        <v>1.5461294461744934E-2</v>
      </c>
      <c r="R175">
        <f t="shared" si="165"/>
        <v>0.20805331195084592</v>
      </c>
      <c r="S175">
        <f t="shared" si="166"/>
        <v>0.17474041321932882</v>
      </c>
      <c r="U175" s="2">
        <f t="shared" si="179"/>
        <v>42125</v>
      </c>
      <c r="V175" t="s">
        <v>8</v>
      </c>
      <c r="W175">
        <f t="shared" si="175"/>
        <v>2.9432065316412365E-2</v>
      </c>
      <c r="X175">
        <f t="shared" si="167"/>
        <v>8.177845824544161E-2</v>
      </c>
      <c r="Y175">
        <f t="shared" si="168"/>
        <v>3.4006112300275983E-2</v>
      </c>
      <c r="Z175">
        <f t="shared" si="169"/>
        <v>5.0642272998327909E-2</v>
      </c>
      <c r="AA175">
        <f t="shared" si="170"/>
        <v>2.3905162643278458E-4</v>
      </c>
      <c r="AB175">
        <f t="shared" si="171"/>
        <v>4.3286180613716009E-2</v>
      </c>
      <c r="AC175">
        <f t="shared" si="172"/>
        <v>3.0534212012061784E-2</v>
      </c>
      <c r="AE175" s="2">
        <f t="shared" si="180"/>
        <v>42125</v>
      </c>
      <c r="AF175" t="s">
        <v>8</v>
      </c>
      <c r="AG175">
        <f t="shared" ref="AG175:AM175" si="223">SQRT(AVERAGE(W164:W175))</f>
        <v>0.25277768972846015</v>
      </c>
      <c r="AH175">
        <f t="shared" si="223"/>
        <v>0.26157913162839325</v>
      </c>
      <c r="AI175">
        <f t="shared" si="223"/>
        <v>0.25529463004651209</v>
      </c>
      <c r="AJ175">
        <f t="shared" si="223"/>
        <v>0.29546402329332744</v>
      </c>
      <c r="AK175">
        <f t="shared" si="223"/>
        <v>0.40925049973339489</v>
      </c>
      <c r="AL175">
        <f t="shared" si="223"/>
        <v>0.31968187666025016</v>
      </c>
      <c r="AM175">
        <f t="shared" si="223"/>
        <v>0.27177393657292093</v>
      </c>
    </row>
    <row r="176" spans="1:39" x14ac:dyDescent="0.3">
      <c r="A176" s="2">
        <f t="shared" si="177"/>
        <v>42156</v>
      </c>
      <c r="B176">
        <v>0.27640971717151069</v>
      </c>
      <c r="C176">
        <v>0.33318005932510658</v>
      </c>
      <c r="D176">
        <v>0.34303557251214323</v>
      </c>
      <c r="E176">
        <v>0.34368224565826661</v>
      </c>
      <c r="F176">
        <v>0.32923197040535263</v>
      </c>
      <c r="G176">
        <v>0.31379392601046752</v>
      </c>
      <c r="H176">
        <v>6.6813281840426841E-2</v>
      </c>
      <c r="I176">
        <v>0.23947718488326961</v>
      </c>
      <c r="K176" s="2">
        <f t="shared" si="178"/>
        <v>42156</v>
      </c>
      <c r="L176" t="s">
        <v>8</v>
      </c>
      <c r="M176">
        <f t="shared" si="174"/>
        <v>5.6770342153595887E-2</v>
      </c>
      <c r="N176">
        <f t="shared" si="161"/>
        <v>6.6625855340632534E-2</v>
      </c>
      <c r="O176">
        <f t="shared" si="162"/>
        <v>6.7272528486755911E-2</v>
      </c>
      <c r="P176">
        <f t="shared" si="163"/>
        <v>5.2822253233841931E-2</v>
      </c>
      <c r="Q176">
        <f t="shared" si="164"/>
        <v>3.7384208838956823E-2</v>
      </c>
      <c r="R176">
        <f t="shared" si="165"/>
        <v>0.20959643533108385</v>
      </c>
      <c r="S176">
        <f t="shared" si="166"/>
        <v>3.6932532288241088E-2</v>
      </c>
      <c r="U176" s="2">
        <f t="shared" si="179"/>
        <v>42156</v>
      </c>
      <c r="V176" t="s">
        <v>8</v>
      </c>
      <c r="W176">
        <f t="shared" si="175"/>
        <v>3.2228717482363461E-3</v>
      </c>
      <c r="X176">
        <f t="shared" si="167"/>
        <v>4.4390045998708924E-3</v>
      </c>
      <c r="Y176">
        <f t="shared" si="168"/>
        <v>4.5255930890013858E-3</v>
      </c>
      <c r="Z176">
        <f t="shared" si="169"/>
        <v>2.7901904367001245E-3</v>
      </c>
      <c r="AA176">
        <f t="shared" si="170"/>
        <v>1.3975790705147374E-3</v>
      </c>
      <c r="AB176">
        <f t="shared" si="171"/>
        <v>4.3930665703497213E-2</v>
      </c>
      <c r="AC176">
        <f t="shared" si="172"/>
        <v>1.3640119412219704E-3</v>
      </c>
      <c r="AE176" s="2">
        <f t="shared" si="180"/>
        <v>42156</v>
      </c>
      <c r="AF176" t="s">
        <v>8</v>
      </c>
      <c r="AG176">
        <f t="shared" ref="AG176:AM176" si="224">SQRT(AVERAGE(W165:W176))</f>
        <v>0.25313192257717504</v>
      </c>
      <c r="AH176">
        <f t="shared" si="224"/>
        <v>0.26227199498351117</v>
      </c>
      <c r="AI176">
        <f t="shared" si="224"/>
        <v>0.25581262491421231</v>
      </c>
      <c r="AJ176">
        <f t="shared" si="224"/>
        <v>0.29538155816209649</v>
      </c>
      <c r="AK176">
        <f t="shared" si="224"/>
        <v>0.40579964282259151</v>
      </c>
      <c r="AL176">
        <f t="shared" si="224"/>
        <v>0.3243205320630605</v>
      </c>
      <c r="AM176">
        <f t="shared" si="224"/>
        <v>0.27145740218610442</v>
      </c>
    </row>
    <row r="177" spans="1:39" x14ac:dyDescent="0.3">
      <c r="A177" s="2">
        <f t="shared" si="177"/>
        <v>42186</v>
      </c>
      <c r="B177">
        <v>0.1585062903994405</v>
      </c>
      <c r="C177">
        <v>0.19982837666227329</v>
      </c>
      <c r="D177">
        <v>0.16088518518119921</v>
      </c>
      <c r="E177">
        <v>0.20061128782195639</v>
      </c>
      <c r="F177">
        <v>0.27640971717151069</v>
      </c>
      <c r="G177">
        <v>0.31373779356476339</v>
      </c>
      <c r="H177">
        <v>0.32827998068996911</v>
      </c>
      <c r="I177">
        <v>0.26318134141200789</v>
      </c>
      <c r="K177" s="2">
        <f t="shared" si="178"/>
        <v>42186</v>
      </c>
      <c r="L177" t="s">
        <v>8</v>
      </c>
      <c r="M177">
        <f t="shared" si="174"/>
        <v>4.1322086262832791E-2</v>
      </c>
      <c r="N177">
        <f t="shared" si="161"/>
        <v>2.3788947817587058E-3</v>
      </c>
      <c r="O177">
        <f t="shared" si="162"/>
        <v>4.2104997422515889E-2</v>
      </c>
      <c r="P177">
        <f t="shared" si="163"/>
        <v>0.11790342677207019</v>
      </c>
      <c r="Q177">
        <f t="shared" si="164"/>
        <v>0.15523150316532289</v>
      </c>
      <c r="R177">
        <f t="shared" si="165"/>
        <v>0.16977369029052861</v>
      </c>
      <c r="S177">
        <f t="shared" si="166"/>
        <v>0.10467505101256738</v>
      </c>
      <c r="U177" s="2">
        <f t="shared" si="179"/>
        <v>42186</v>
      </c>
      <c r="V177" t="s">
        <v>8</v>
      </c>
      <c r="W177">
        <f t="shared" si="175"/>
        <v>1.7075148131129945E-3</v>
      </c>
      <c r="X177">
        <f t="shared" si="167"/>
        <v>5.6591403826788002E-6</v>
      </c>
      <c r="Y177">
        <f t="shared" si="168"/>
        <v>1.7728308079500697E-3</v>
      </c>
      <c r="Z177">
        <f t="shared" si="169"/>
        <v>1.3901218044596918E-2</v>
      </c>
      <c r="AA177">
        <f t="shared" si="170"/>
        <v>2.409681957496565E-2</v>
      </c>
      <c r="AB177">
        <f t="shared" si="171"/>
        <v>2.8823105914864328E-2</v>
      </c>
      <c r="AC177">
        <f t="shared" si="172"/>
        <v>1.0956866304483583E-2</v>
      </c>
      <c r="AE177" s="2">
        <f t="shared" si="180"/>
        <v>42186</v>
      </c>
      <c r="AF177" t="s">
        <v>8</v>
      </c>
      <c r="AG177">
        <f t="shared" ref="AG177:AM177" si="225">SQRT(AVERAGE(W166:W177))</f>
        <v>0.25311869208021459</v>
      </c>
      <c r="AH177">
        <f t="shared" si="225"/>
        <v>0.26199429908596289</v>
      </c>
      <c r="AI177">
        <f t="shared" si="225"/>
        <v>0.25581891907235632</v>
      </c>
      <c r="AJ177">
        <f t="shared" si="225"/>
        <v>0.29728249114431082</v>
      </c>
      <c r="AK177">
        <f t="shared" si="225"/>
        <v>0.40388093435872091</v>
      </c>
      <c r="AL177">
        <f t="shared" si="225"/>
        <v>0.32672285322197386</v>
      </c>
      <c r="AM177">
        <f t="shared" si="225"/>
        <v>0.27144277914769954</v>
      </c>
    </row>
    <row r="178" spans="1:39" x14ac:dyDescent="0.3">
      <c r="A178" s="2">
        <f t="shared" si="177"/>
        <v>42217</v>
      </c>
      <c r="B178">
        <v>-4.2010893430699531E-4</v>
      </c>
      <c r="C178">
        <v>-3.938861334756049E-2</v>
      </c>
      <c r="D178">
        <v>3.4540251166281927E-2</v>
      </c>
      <c r="E178">
        <v>-3.8480671635827877E-2</v>
      </c>
      <c r="F178">
        <v>0.1585062903994405</v>
      </c>
      <c r="G178">
        <v>0.31350506267546002</v>
      </c>
      <c r="H178">
        <v>0.26296062627833289</v>
      </c>
      <c r="I178">
        <v>0.13498189720881851</v>
      </c>
      <c r="K178" s="2">
        <f t="shared" si="178"/>
        <v>42217</v>
      </c>
      <c r="L178" t="s">
        <v>8</v>
      </c>
      <c r="M178">
        <f t="shared" si="174"/>
        <v>3.8968504413253495E-2</v>
      </c>
      <c r="N178">
        <f t="shared" si="161"/>
        <v>3.4960360100588922E-2</v>
      </c>
      <c r="O178">
        <f t="shared" si="162"/>
        <v>3.8060562701520882E-2</v>
      </c>
      <c r="P178">
        <f t="shared" si="163"/>
        <v>0.1589263993337475</v>
      </c>
      <c r="Q178">
        <f t="shared" si="164"/>
        <v>0.31392517160976702</v>
      </c>
      <c r="R178">
        <f t="shared" si="165"/>
        <v>0.26338073521263988</v>
      </c>
      <c r="S178">
        <f t="shared" si="166"/>
        <v>0.1354020061431255</v>
      </c>
      <c r="U178" s="2">
        <f t="shared" si="179"/>
        <v>42217</v>
      </c>
      <c r="V178" t="s">
        <v>8</v>
      </c>
      <c r="W178">
        <f t="shared" si="175"/>
        <v>1.5185443362057572E-3</v>
      </c>
      <c r="X178">
        <f t="shared" si="167"/>
        <v>1.22222677836285E-3</v>
      </c>
      <c r="Y178">
        <f t="shared" si="168"/>
        <v>1.4486064331564025E-3</v>
      </c>
      <c r="Z178">
        <f t="shared" si="169"/>
        <v>2.5257600405189776E-2</v>
      </c>
      <c r="AA178">
        <f t="shared" si="170"/>
        <v>9.8549013370221678E-2</v>
      </c>
      <c r="AB178">
        <f t="shared" si="171"/>
        <v>6.9369411681150725E-2</v>
      </c>
      <c r="AC178">
        <f t="shared" si="172"/>
        <v>1.8333703267582997E-2</v>
      </c>
      <c r="AE178" s="2">
        <f t="shared" si="180"/>
        <v>42217</v>
      </c>
      <c r="AF178" t="s">
        <v>8</v>
      </c>
      <c r="AG178">
        <f t="shared" ref="AG178:AM178" si="226">SQRT(AVERAGE(W167:W178))</f>
        <v>0.25215459473999352</v>
      </c>
      <c r="AH178">
        <f t="shared" si="226"/>
        <v>0.25823292315369778</v>
      </c>
      <c r="AI178">
        <f t="shared" si="226"/>
        <v>0.25502480830235813</v>
      </c>
      <c r="AJ178">
        <f t="shared" si="226"/>
        <v>0.29850618842548454</v>
      </c>
      <c r="AK178">
        <f t="shared" si="226"/>
        <v>0.40247409375991922</v>
      </c>
      <c r="AL178">
        <f t="shared" si="226"/>
        <v>0.33028963917556436</v>
      </c>
      <c r="AM178">
        <f t="shared" si="226"/>
        <v>0.26772743241882357</v>
      </c>
    </row>
    <row r="179" spans="1:39" x14ac:dyDescent="0.3">
      <c r="A179" s="2">
        <f t="shared" si="177"/>
        <v>42248</v>
      </c>
      <c r="B179">
        <v>-0.22501171352722341</v>
      </c>
      <c r="C179">
        <v>-0.1172713371438347</v>
      </c>
      <c r="D179">
        <v>5.344477211218545E-2</v>
      </c>
      <c r="E179">
        <v>-0.1118944870592616</v>
      </c>
      <c r="F179">
        <v>-4.2010893430699531E-4</v>
      </c>
      <c r="G179">
        <v>0.31303511481376878</v>
      </c>
      <c r="H179">
        <v>0.19308823092913069</v>
      </c>
      <c r="I179">
        <v>5.1245463240085901E-2</v>
      </c>
      <c r="K179" s="2">
        <f t="shared" si="178"/>
        <v>42248</v>
      </c>
      <c r="L179" t="s">
        <v>8</v>
      </c>
      <c r="M179">
        <f t="shared" si="174"/>
        <v>0.10774037638338871</v>
      </c>
      <c r="N179">
        <f t="shared" si="161"/>
        <v>0.27845648563940884</v>
      </c>
      <c r="O179">
        <f t="shared" si="162"/>
        <v>0.11311722646796181</v>
      </c>
      <c r="P179">
        <f t="shared" si="163"/>
        <v>0.22459160459291641</v>
      </c>
      <c r="Q179">
        <f t="shared" si="164"/>
        <v>0.53804682834099216</v>
      </c>
      <c r="R179">
        <f t="shared" si="165"/>
        <v>0.41809994445635412</v>
      </c>
      <c r="S179">
        <f t="shared" si="166"/>
        <v>0.27625717676730932</v>
      </c>
      <c r="U179" s="2">
        <f t="shared" si="179"/>
        <v>42248</v>
      </c>
      <c r="V179" t="s">
        <v>8</v>
      </c>
      <c r="W179">
        <f t="shared" si="175"/>
        <v>1.1607988703234264E-2</v>
      </c>
      <c r="X179">
        <f t="shared" si="167"/>
        <v>7.7538014394650301E-2</v>
      </c>
      <c r="Y179">
        <f t="shared" si="168"/>
        <v>1.279550692380416E-2</v>
      </c>
      <c r="Z179">
        <f t="shared" si="169"/>
        <v>5.0441388853620914E-2</v>
      </c>
      <c r="AA179">
        <f t="shared" si="170"/>
        <v>0.2894943894878011</v>
      </c>
      <c r="AB179">
        <f t="shared" si="171"/>
        <v>0.17480756355440641</v>
      </c>
      <c r="AC179">
        <f t="shared" si="172"/>
        <v>7.6318027715444395E-2</v>
      </c>
      <c r="AE179" s="2">
        <f t="shared" si="180"/>
        <v>42248</v>
      </c>
      <c r="AF179" t="s">
        <v>8</v>
      </c>
      <c r="AG179">
        <f t="shared" ref="AG179:AM179" si="227">SQRT(AVERAGE(W168:W179))</f>
        <v>0.25395212025976011</v>
      </c>
      <c r="AH179">
        <f t="shared" si="227"/>
        <v>0.26954093603022528</v>
      </c>
      <c r="AI179">
        <f t="shared" si="227"/>
        <v>0.25696907615157188</v>
      </c>
      <c r="AJ179">
        <f t="shared" si="227"/>
        <v>0.30539268786141371</v>
      </c>
      <c r="AK179">
        <f t="shared" si="227"/>
        <v>0.42194508336025333</v>
      </c>
      <c r="AL179">
        <f t="shared" si="227"/>
        <v>0.34818975695323567</v>
      </c>
      <c r="AM179">
        <f t="shared" si="227"/>
        <v>0.27658000623376772</v>
      </c>
    </row>
    <row r="180" spans="1:39" x14ac:dyDescent="0.3">
      <c r="A180" s="2">
        <f t="shared" si="177"/>
        <v>42278</v>
      </c>
      <c r="B180">
        <v>9.889928020463401E-2</v>
      </c>
      <c r="C180">
        <v>1.932968599709316E-3</v>
      </c>
      <c r="D180">
        <v>-4.3207915180177699E-2</v>
      </c>
      <c r="E180">
        <v>1.808171662700774E-4</v>
      </c>
      <c r="F180">
        <v>-0.22501171352722341</v>
      </c>
      <c r="G180">
        <v>0.31223085946497797</v>
      </c>
      <c r="H180">
        <v>0.12711213336277469</v>
      </c>
      <c r="I180">
        <v>-3.4663281939360781E-2</v>
      </c>
      <c r="K180" s="2">
        <f t="shared" si="178"/>
        <v>42278</v>
      </c>
      <c r="L180" t="s">
        <v>8</v>
      </c>
      <c r="M180">
        <f t="shared" si="174"/>
        <v>9.6966311604924693E-2</v>
      </c>
      <c r="N180">
        <f t="shared" si="161"/>
        <v>0.1421071953848117</v>
      </c>
      <c r="O180">
        <f t="shared" si="162"/>
        <v>9.8718463038363929E-2</v>
      </c>
      <c r="P180">
        <f t="shared" si="163"/>
        <v>0.32391099373185739</v>
      </c>
      <c r="Q180">
        <f t="shared" si="164"/>
        <v>0.21333157926034396</v>
      </c>
      <c r="R180">
        <f t="shared" si="165"/>
        <v>2.8212853158140677E-2</v>
      </c>
      <c r="S180">
        <f t="shared" si="166"/>
        <v>0.13356256214399478</v>
      </c>
      <c r="U180" s="2">
        <f t="shared" si="179"/>
        <v>42278</v>
      </c>
      <c r="V180" t="s">
        <v>8</v>
      </c>
      <c r="W180">
        <f t="shared" si="175"/>
        <v>9.4024655862633526E-3</v>
      </c>
      <c r="X180">
        <f t="shared" si="167"/>
        <v>2.0194454980137048E-2</v>
      </c>
      <c r="Y180">
        <f t="shared" si="168"/>
        <v>9.7453349446568246E-3</v>
      </c>
      <c r="Z180">
        <f t="shared" si="169"/>
        <v>0.10491833186035936</v>
      </c>
      <c r="AA180">
        <f t="shared" si="170"/>
        <v>4.5510362709712419E-2</v>
      </c>
      <c r="AB180">
        <f t="shared" si="171"/>
        <v>7.9596508332280833E-4</v>
      </c>
      <c r="AC180">
        <f t="shared" si="172"/>
        <v>1.783895800646847E-2</v>
      </c>
      <c r="AE180" s="2">
        <f t="shared" si="180"/>
        <v>42278</v>
      </c>
      <c r="AF180" t="s">
        <v>8</v>
      </c>
      <c r="AG180">
        <f t="shared" ref="AG180:AM180" si="228">SQRT(AVERAGE(W169:W180))</f>
        <v>0.25125409903515478</v>
      </c>
      <c r="AH180">
        <f t="shared" si="228"/>
        <v>0.2686381965845161</v>
      </c>
      <c r="AI180">
        <f t="shared" si="228"/>
        <v>0.25391511116724441</v>
      </c>
      <c r="AJ180">
        <f t="shared" si="228"/>
        <v>0.31929195583443304</v>
      </c>
      <c r="AK180">
        <f t="shared" si="228"/>
        <v>0.41512164181720967</v>
      </c>
      <c r="AL180">
        <f t="shared" si="228"/>
        <v>0.34674815047496366</v>
      </c>
      <c r="AM180">
        <f t="shared" si="228"/>
        <v>0.2761006251242929</v>
      </c>
    </row>
    <row r="181" spans="1:39" x14ac:dyDescent="0.3">
      <c r="A181" s="2">
        <f t="shared" si="177"/>
        <v>42309</v>
      </c>
      <c r="B181">
        <v>0.1193904503351106</v>
      </c>
      <c r="C181">
        <v>8.7900181698558566E-2</v>
      </c>
      <c r="D181">
        <v>0.1032915945031123</v>
      </c>
      <c r="E181">
        <v>8.6764985770181616E-2</v>
      </c>
      <c r="F181">
        <v>9.889928020463401E-2</v>
      </c>
      <c r="G181">
        <v>0.31191245412279839</v>
      </c>
      <c r="H181">
        <v>-1.491738105364895E-2</v>
      </c>
      <c r="I181">
        <v>0.17426006841689909</v>
      </c>
      <c r="K181" s="2">
        <f t="shared" si="178"/>
        <v>42309</v>
      </c>
      <c r="L181" t="s">
        <v>8</v>
      </c>
      <c r="M181">
        <f t="shared" si="174"/>
        <v>3.1490268636552035E-2</v>
      </c>
      <c r="N181">
        <f t="shared" si="161"/>
        <v>1.6098855831998299E-2</v>
      </c>
      <c r="O181">
        <f t="shared" si="162"/>
        <v>3.2625464564928985E-2</v>
      </c>
      <c r="P181">
        <f t="shared" si="163"/>
        <v>2.0491170130476591E-2</v>
      </c>
      <c r="Q181">
        <f t="shared" si="164"/>
        <v>0.1925220037876878</v>
      </c>
      <c r="R181">
        <f t="shared" si="165"/>
        <v>0.13430783138875954</v>
      </c>
      <c r="S181">
        <f t="shared" si="166"/>
        <v>5.4869618081788488E-2</v>
      </c>
      <c r="U181" s="2">
        <f t="shared" si="179"/>
        <v>42309</v>
      </c>
      <c r="V181" t="s">
        <v>8</v>
      </c>
      <c r="W181">
        <f t="shared" si="175"/>
        <v>9.9163701880221268E-4</v>
      </c>
      <c r="X181">
        <f t="shared" si="167"/>
        <v>2.5917315909946566E-4</v>
      </c>
      <c r="Y181">
        <f t="shared" si="168"/>
        <v>1.0644209380774369E-3</v>
      </c>
      <c r="Z181">
        <f t="shared" si="169"/>
        <v>4.19888053316136E-4</v>
      </c>
      <c r="AA181">
        <f t="shared" si="170"/>
        <v>3.7064721942426479E-2</v>
      </c>
      <c r="AB181">
        <f t="shared" si="171"/>
        <v>1.8038593572351463E-2</v>
      </c>
      <c r="AC181">
        <f t="shared" si="172"/>
        <v>3.0106749884413302E-3</v>
      </c>
      <c r="AE181" s="2">
        <f t="shared" si="180"/>
        <v>42309</v>
      </c>
      <c r="AF181" t="s">
        <v>8</v>
      </c>
      <c r="AG181">
        <f t="shared" ref="AG181:AM181" si="229">SQRT(AVERAGE(W170:W181))</f>
        <v>0.24770074998557248</v>
      </c>
      <c r="AH181">
        <f t="shared" si="229"/>
        <v>0.25961087590038212</v>
      </c>
      <c r="AI181">
        <f t="shared" si="229"/>
        <v>0.25027395920271406</v>
      </c>
      <c r="AJ181">
        <f t="shared" si="229"/>
        <v>0.31561385496992483</v>
      </c>
      <c r="AK181">
        <f t="shared" si="229"/>
        <v>0.39254423964862795</v>
      </c>
      <c r="AL181">
        <f t="shared" si="229"/>
        <v>0.33812410902742401</v>
      </c>
      <c r="AM181">
        <f t="shared" si="229"/>
        <v>0.26420203234930029</v>
      </c>
    </row>
    <row r="182" spans="1:39" x14ac:dyDescent="0.3">
      <c r="A182" s="2">
        <f t="shared" si="177"/>
        <v>42339</v>
      </c>
      <c r="B182">
        <v>-0.1076132249516526</v>
      </c>
      <c r="C182">
        <v>5.0639305473532598E-2</v>
      </c>
      <c r="D182">
        <v>9.508554110488901E-2</v>
      </c>
      <c r="E182">
        <v>6.1711801987932767E-2</v>
      </c>
      <c r="F182">
        <v>0.1193904503351106</v>
      </c>
      <c r="G182">
        <v>0.31162553608436672</v>
      </c>
      <c r="H182">
        <v>0.17888291104157411</v>
      </c>
      <c r="I182">
        <v>0.1291362250793531</v>
      </c>
      <c r="K182" s="2">
        <f t="shared" si="178"/>
        <v>42339</v>
      </c>
      <c r="L182" t="s">
        <v>8</v>
      </c>
      <c r="M182">
        <f t="shared" si="174"/>
        <v>0.15825253042518519</v>
      </c>
      <c r="N182">
        <f t="shared" si="161"/>
        <v>0.20269876605654161</v>
      </c>
      <c r="O182">
        <f t="shared" si="162"/>
        <v>0.16932502693958537</v>
      </c>
      <c r="P182">
        <f t="shared" si="163"/>
        <v>0.22700367528676318</v>
      </c>
      <c r="Q182">
        <f t="shared" si="164"/>
        <v>0.41923876103601931</v>
      </c>
      <c r="R182">
        <f t="shared" si="165"/>
        <v>0.28649613599322671</v>
      </c>
      <c r="S182">
        <f t="shared" si="166"/>
        <v>0.2367494500310057</v>
      </c>
      <c r="U182" s="2">
        <f t="shared" si="179"/>
        <v>42339</v>
      </c>
      <c r="V182" t="s">
        <v>8</v>
      </c>
      <c r="W182">
        <f t="shared" si="175"/>
        <v>2.5043863385974165E-2</v>
      </c>
      <c r="X182">
        <f t="shared" si="167"/>
        <v>4.1086789760844587E-2</v>
      </c>
      <c r="Y182">
        <f t="shared" si="168"/>
        <v>2.8670964748091311E-2</v>
      </c>
      <c r="Z182">
        <f t="shared" si="169"/>
        <v>5.1530668593698217E-2</v>
      </c>
      <c r="AA182">
        <f t="shared" si="170"/>
        <v>0.1757611387550165</v>
      </c>
      <c r="AB182">
        <f t="shared" si="171"/>
        <v>8.2080035939049459E-2</v>
      </c>
      <c r="AC182">
        <f t="shared" si="172"/>
        <v>5.6050302089983663E-2</v>
      </c>
      <c r="AE182" s="2">
        <f t="shared" si="180"/>
        <v>42339</v>
      </c>
      <c r="AF182" t="s">
        <v>8</v>
      </c>
      <c r="AG182">
        <f t="shared" ref="AG182:AM182" si="230">SQRT(AVERAGE(W171:W182))</f>
        <v>0.23605015256801076</v>
      </c>
      <c r="AH182">
        <f t="shared" si="230"/>
        <v>0.24945425791464348</v>
      </c>
      <c r="AI182">
        <f t="shared" si="230"/>
        <v>0.23914007459108699</v>
      </c>
      <c r="AJ182">
        <f t="shared" si="230"/>
        <v>0.32046282675407306</v>
      </c>
      <c r="AK182">
        <f t="shared" si="230"/>
        <v>0.36895192014615757</v>
      </c>
      <c r="AL182">
        <f t="shared" si="230"/>
        <v>0.32999724180965245</v>
      </c>
      <c r="AM182">
        <f t="shared" si="230"/>
        <v>0.25802642119281288</v>
      </c>
    </row>
    <row r="184" spans="1:39" x14ac:dyDescent="0.3">
      <c r="M184">
        <f>SUM(M3:M182)</f>
        <v>34.854030891655668</v>
      </c>
      <c r="N184">
        <f>SUM(N3:N182)</f>
        <v>36.866044438891784</v>
      </c>
      <c r="O184">
        <f>SUM(O3:O182)</f>
        <v>34.958571366797102</v>
      </c>
      <c r="P184">
        <f>SUM(P3:P182)</f>
        <v>42.80112855675798</v>
      </c>
      <c r="Q184">
        <f>SUM(Q3:Q182)</f>
        <v>45.135346941659996</v>
      </c>
      <c r="R184">
        <f>SUM(R3:R182)</f>
        <v>45.817161676200293</v>
      </c>
      <c r="S184">
        <f>SUM(S3:S182)</f>
        <v>35.711654930381115</v>
      </c>
      <c r="AG184">
        <f t="shared" ref="AG184:AM184" si="231">SUM(AG3:AG182)</f>
        <v>42.898409534546865</v>
      </c>
      <c r="AH184">
        <f t="shared" si="231"/>
        <v>45.316241239595087</v>
      </c>
      <c r="AI184">
        <f t="shared" si="231"/>
        <v>42.92259314670946</v>
      </c>
      <c r="AJ184">
        <f t="shared" si="231"/>
        <v>51.295719245160534</v>
      </c>
      <c r="AK184">
        <f t="shared" si="231"/>
        <v>54.894123421145629</v>
      </c>
      <c r="AL184">
        <f t="shared" si="231"/>
        <v>54.830976177228678</v>
      </c>
      <c r="AM184">
        <f t="shared" si="231"/>
        <v>44.782299632625083</v>
      </c>
    </row>
  </sheetData>
  <conditionalFormatting sqref="AQ3:AW3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4:AW4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5:AW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6:AW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7:AW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8:AW8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9:AW9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10:AW10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11:AW11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12:AW1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13:AW13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14:AW1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15:AW1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16:AW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Q17:AW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Orhun Özel</cp:lastModifiedBy>
  <dcterms:created xsi:type="dcterms:W3CDTF">2026-03-03T21:26:38Z</dcterms:created>
  <dcterms:modified xsi:type="dcterms:W3CDTF">2026-03-03T21:53:50Z</dcterms:modified>
</cp:coreProperties>
</file>